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tage Weights" sheetId="2" state="visible" r:id="rId4"/>
    <sheet name="Core Risk Domain" sheetId="3" state="visible" r:id="rId5"/>
    <sheet name="Scoring Calculator" sheetId="4" state="visible" r:id="rId6"/>
    <sheet name="Audit &amp; RIA Compliance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<sst xmlns="http://schemas.openxmlformats.org/spreadsheetml/2006/main" count="337" uniqueCount="306">
  <si>
    <t xml:space="preserve">TokenCap Advisors LLC  |  TCA Intelligence Framework</t>
  </si>
  <si>
    <t xml:space="preserve">Technology — Core Risk Domain Framework</t>
  </si>
  <si>
    <t xml:space="preserve">Version 1.0  |  Effective Date: 2026  |  CONFIDENTIAL — RIA RECORD</t>
  </si>
  <si>
    <t xml:space="preserve">Document Purpose</t>
  </si>
  <si>
    <t xml:space="preserve">This workbook constitutes the authoritative TCA Core Risk Domain Framework for Technology investments including SaaS, fintech, healthtech, AI/ML platforms, marketplaces, and enterprise software. It is a governed, version-controlled record produced in compliance with the Investment Advisers Act of 1940 and SEC Rule 204-2 (Books &amp; Records, 17 CFR § 275.204-2). All scored outputs derived from this framework must be retained for a minimum of five years in an immutable format accessible to regulators upon request.</t>
  </si>
  <si>
    <t xml:space="preserve">Framework Version:</t>
  </si>
  <si>
    <t xml:space="preserve">TCA-TECH-001-v1.0</t>
  </si>
  <si>
    <t xml:space="preserve">Asset Class:</t>
  </si>
  <si>
    <t xml:space="preserve">Technology (SaaS, Fintech, HealthTech, AI/ML, Marketplace, Enterprise Software)</t>
  </si>
  <si>
    <t xml:space="preserve">Issuing Function:</t>
  </si>
  <si>
    <t xml:space="preserve">TCA Research &amp; Investment (R&amp;I) / Risk Function</t>
  </si>
  <si>
    <t xml:space="preserve">Methodology Basis:</t>
  </si>
  <si>
    <t xml:space="preserve">TCA Five-Domain Risk Framework  |  Stage-Sensitive Weighting</t>
  </si>
  <si>
    <t xml:space="preserve">Regulatory Alignment:</t>
  </si>
  <si>
    <t xml:space="preserve">Investment Advisers Act 1940  |  SEC Rule 204-2  |  RIA Recordkeeping</t>
  </si>
  <si>
    <t xml:space="preserve">Retention Requirement:</t>
  </si>
  <si>
    <t xml:space="preserve">Minimum 5 years — immutable storage required</t>
  </si>
  <si>
    <t xml:space="preserve">Review Cycle:</t>
  </si>
  <si>
    <t xml:space="preserve">Annual or upon material methodology change (CRO approval required)</t>
  </si>
  <si>
    <t xml:space="preserve">Approved by:</t>
  </si>
  <si>
    <t xml:space="preserve">[CRO Signature / Date]</t>
  </si>
  <si>
    <t xml:space="preserve">Five Risk Domains — Technology Mapping</t>
  </si>
  <si>
    <t xml:space="preserve">TCA Domain</t>
  </si>
  <si>
    <t xml:space="preserve">Technology Application</t>
  </si>
  <si>
    <t xml:space="preserve">Foundational / Asset Risk (FR)</t>
  </si>
  <si>
    <t xml:space="preserve">Product-Market Fit &amp; Demand Validation</t>
  </si>
  <si>
    <t xml:space="preserve">Technical &amp; Execution Risk (TE)</t>
  </si>
  <si>
    <t xml:space="preserve">Technology Architecture, Engineering &amp; Execution Risk</t>
  </si>
  <si>
    <t xml:space="preserve">Regulatory &amp; External Constraint (RE)</t>
  </si>
  <si>
    <t xml:space="preserve">Regulatory, Platform Dependency &amp; Legal Risk</t>
  </si>
  <si>
    <t xml:space="preserve">Commercial &amp; Financial Risk (CF)</t>
  </si>
  <si>
    <t xml:space="preserve">Financial Sustainability, Unit Economics &amp; Capital Risk</t>
  </si>
  <si>
    <t xml:space="preserve">Infrastructure, Integration &amp; Market (IM)</t>
  </si>
  <si>
    <t xml:space="preserve">Competitive Position, Strategic Moat &amp; Market Risk</t>
  </si>
  <si>
    <t xml:space="preserve">⚠  RIA Notice: This framework and all outputs derived from it constitute research records subject to SEC Rule 204-2. Outputs must be traceable, reproducible, and retained. Scoring must be performed within the TCA Risk Engine once operational. Spreadsheet-based assessments are an interim measure only.</t>
  </si>
  <si>
    <t xml:space="preserve">Domain Remapping Note</t>
  </si>
  <si>
    <t xml:space="preserve">The TCA five-domain framework is applied to technology investments with the following mapping: Product-Market Fit maps to Foundational/Asset Risk (FR) because demand validation is the foundational uncertainty in early-stage tech. Technology &amp; Execution maps to Technical &amp; Execution Risk (TE). Regulatory &amp; Platform maps to Regulatory &amp; External Constraint (RE). Financial &amp; Capital maps to Commercial &amp; Financial Risk (CF). Competitive &amp; Strategic maps to Infrastructure, Integration &amp; Market Risk (IM) because competitive positioning and market structure are the delivery/monetization constraints analogous to grid access and market depth in energy and real estate.</t>
  </si>
  <si>
    <t xml:space="preserve">TCA Technology — Stage-Sensitive Domain Weight Table</t>
  </si>
  <si>
    <t xml:space="preserve">Domain weights shift dynamically by company stage per TCA methodology. Weights must sum to 100% per stage. Stage assignment requires analyst confirmation and CRO review.</t>
  </si>
  <si>
    <t xml:space="preserve">Risk Domain (TCA Mapping)</t>
  </si>
  <si>
    <t xml:space="preserve">Early Stage</t>
  </si>
  <si>
    <t xml:space="preserve">Growth Stage</t>
  </si>
  <si>
    <t xml:space="preserve">Mature / Scale Stage</t>
  </si>
  <si>
    <t xml:space="preserve">Weighting Rationale</t>
  </si>
  <si>
    <t xml:space="preserve">Product-Market Fit (FR)</t>
  </si>
  <si>
    <t xml:space="preserve">Dominates at Early Stage — demand validation and problem-solution fit are the primary sources of uncertainty; without PMF nothing else matters.</t>
  </si>
  <si>
    <t xml:space="preserve">Technology &amp; Execution (TE)</t>
  </si>
  <si>
    <t xml:space="preserve">Elevated across all stages — architecture scalability, security, and engineering quality are critical at Early and Growth; technical debt accumulates at Mature.</t>
  </si>
  <si>
    <t xml:space="preserve">Regulatory &amp; Platform (RE)</t>
  </si>
  <si>
    <t xml:space="preserve">Low weight at Early/Growth — regulatory risk is latent but not yet cash-flow-impacting; rises at Mature as data privacy, platform, and sector-specific regulations crystallize.</t>
  </si>
  <si>
    <t xml:space="preserve">Financial &amp; Capital (CF)</t>
  </si>
  <si>
    <t xml:space="preserve">Cross-stage importance — burn rate and runway risk dominate at Early Stage; unit economics and capital efficiency become the primary financial discipline at Growth and Mature.</t>
  </si>
  <si>
    <t xml:space="preserve">Competitive &amp; Strategic (IM)</t>
  </si>
  <si>
    <t xml:space="preserve">Rises with maturity — competitive moat and market structure define long-term defensibility; irrelevant pre-PMF but decisive at Growth and Mature stages.</t>
  </si>
  <si>
    <t xml:space="preserve">Sum Check (must = 100%)</t>
  </si>
  <si>
    <t xml:space="preserve">Stage Definitions:  Early Stage = pre-revenue or pre-product-market-fit; Growth Stage = demonstrated PMF, scaling GTM, revenue growing &gt;50% YoY; Mature/Scale Stage = established market position, optimizing unit economics, exploring expansion or exit. Stage assignment should be confirmed by the evaluating analyst based on ARR, cohort data, and GTM evidence.</t>
  </si>
  <si>
    <t xml:space="preserve">TokenCap Advisors LLC  |  TCA Intelligence Framework  |  Technology — Core Risk Domain Data Collection Framework</t>
  </si>
  <si>
    <t xml:space="preserve">Framework Version: TCA-TECH-001-v1.0  |  Asset Class: Technology  |  Regulatory Basis: Investment Advisers Act 1940  |  SEC Rule 204-2  |  Methodology: TCA Five-Domain Risk Framework</t>
  </si>
  <si>
    <t xml:space="preserve">SCORING KEY:  Likelihood 0–3  ×  Impact 0–3  =  Inherent Risk (0–9)  |  Residual Risk = Inherent ÷ Control Effectiveness (1=Weak, 2=Adequate, 3=Strong)  |  TCA Grade:  1.0–1.9=TCA-A (Stable)  2.0–2.5=TCA-B (Core)  2.6–3.2=TCA-C (Opportunistic)  3.3–4.0=TCA-D (High-Risk)  &gt;4.0=TCA-S (Speculative)</t>
  </si>
  <si>
    <t xml:space="preserve">#</t>
  </si>
  <si>
    <t xml:space="preserve">Risk Domain
(TCA Mapping)</t>
  </si>
  <si>
    <t xml:space="preserve">Risk Element</t>
  </si>
  <si>
    <t xml:space="preserve">Description</t>
  </si>
  <si>
    <t xml:space="preserve">Information Required
(Data Collection Checklist)</t>
  </si>
  <si>
    <t xml:space="preserve">Risk Signature
(What Can Go Wrong)</t>
  </si>
  <si>
    <t xml:space="preserve">Primary Data Sources</t>
  </si>
  <si>
    <t xml:space="preserve">Source Type</t>
  </si>
  <si>
    <t xml:space="preserve">Likelihood
(0–3)</t>
  </si>
  <si>
    <t xml:space="preserve">Impact
(0–3)</t>
  </si>
  <si>
    <t xml:space="preserve">Inherent
Risk</t>
  </si>
  <si>
    <t xml:space="preserve">Control
Effectiveness
(1–3)</t>
  </si>
  <si>
    <t xml:space="preserve">Residual
Risk</t>
  </si>
  <si>
    <t xml:space="preserve">Analyst Notes / Evidence Reference</t>
  </si>
  <si>
    <t xml:space="preserve">RIA Recordkeeping Note
(SEC Rule 204-2)</t>
  </si>
  <si>
    <t xml:space="preserve">  Product-Market Fit
(Foundational / Asset Risk — FR)</t>
  </si>
  <si>
    <t xml:space="preserve">Customer Adoption Rate
&amp; Time-to-Value</t>
  </si>
  <si>
    <t xml:space="preserve">Speed at which new users/customers activate, derive value, and convert from trial or pilot to paying accounts.</t>
  </si>
  <si>
    <t xml:space="preserve">MoM user acquisition rate; activation rate (%); time-to-value (TTV) in days; trial-to-paid conversion rate; sales cycle length vs. benchmark</t>
  </si>
  <si>
    <t xml:space="preserve">Slow adoption signals weak problem-solution fit or misdirected GTM; high CAC with low conversion destroys unit economics at scale</t>
  </si>
  <si>
    <t xml:space="preserve">Product analytics (Mixpanel, Amplitude, Heap); CRM pipeline data (Salesforce, HubSpot); cohort reports; sales call win/loss logs</t>
  </si>
  <si>
    <t xml:space="preserve">Product / Commercial</t>
  </si>
  <si>
    <t xml:space="preserve">Early stage: adoption lag &gt;3 months indicates weak fit. Benchmark activation rate vs. category leaders. Distinguish product-led vs. sales-led acquisition patterns.</t>
  </si>
  <si>
    <t xml:space="preserve">Retain per SEC Rule 204-2 — minimum 5 years</t>
  </si>
  <si>
    <t xml:space="preserve">User Retention &amp;
Churn Risk</t>
  </si>
  <si>
    <t xml:space="preserve">Ability to retain customers over time and the company's sensitivity to churn-driven revenue erosion.</t>
  </si>
  <si>
    <t xml:space="preserve">Net and gross monthly churn rate; D30/D90 cohort retention curve; net revenue retention (NRR); logo vs. dollar churn; customer health scores</t>
  </si>
  <si>
    <t xml:space="preserve">Leaky bucket dynamic — high gross churn masks growth and destroys LTV; churn &gt;2%/mo (SaaS) signals fundamental product or fit issue</t>
  </si>
  <si>
    <t xml:space="preserve">Subscription analytics (Baremetrics, Stripe, ChartMogul); customer success platform (Gainsight, Totango); CRM churned account data</t>
  </si>
  <si>
    <t xml:space="preserve">Product / Financial</t>
  </si>
  <si>
    <t xml:space="preserve">For SaaS, gross churn &gt;2%/mo is warning threshold. For marketplace, repeat purchase rate and GMV per active user are retention proxies. Require cohort-level data.</t>
  </si>
  <si>
    <t xml:space="preserve">Value Proposition Clarity
&amp; Differentiation</t>
  </si>
  <si>
    <t xml:space="preserve">Strength and clarity of the company's differentiation in the target market and ability to articulate a compelling, defensible value proposition.</t>
  </si>
  <si>
    <t xml:space="preserve">Net Promoter Score (NPS) on 'value'; win/loss analysis (reasons for wins and losses vs. named competitors); customer willingness-to-pay data; product positioning clarity</t>
  </si>
  <si>
    <t xml:space="preserve">Indistinct differentiation leads to commoditization, price competition, and inability to expand into adjacent segments</t>
  </si>
  <si>
    <t xml:space="preserve">Customer interviews; win/loss analysis reports; competitor feature matrix; NPS survey data; analyst reports (Gartner, Forrester, G2)</t>
  </si>
  <si>
    <t xml:space="preserve">Commercial / Strategic</t>
  </si>
  <si>
    <t xml:space="preserve">If customers cannot articulate why they chose the product over alternatives, a pivot signal exists. Document three top reasons customers buy and three top reasons they don't.</t>
  </si>
  <si>
    <t xml:space="preserve">Market Demand Validation
&amp; TAM/SAM Credibility</t>
  </si>
  <si>
    <t xml:space="preserve">Credibility and methodology of total addressable market sizing, and empirical validation that real, scalable demand exists.</t>
  </si>
  <si>
    <t xml:space="preserve">TAM/SAM/SOM methodology and assumptions; paid pilot conversion rate; paying customer count and ARR trajectory; industry analyst validation; bottoms-up vs. top-down reconciliation</t>
  </si>
  <si>
    <t xml:space="preserve">False or overstated market assumptions lead to misallocation; flat SAM after 12 months of GTM signals wrong ICP or non-existent problem</t>
  </si>
  <si>
    <t xml:space="preserve">Market research reports (Gartner, IDC, Forrester); pilot program conversion data; paying customer interviews; comparable company benchmarks (Crunchbase, PitchBook)</t>
  </si>
  <si>
    <t xml:space="preserve">Market / Commercial</t>
  </si>
  <si>
    <t xml:space="preserve">Require bottoms-up TAM validation in addition to top-down market reports. Flat revenue growth after 12 months of sales motion = critical PMF risk flag.</t>
  </si>
  <si>
    <t xml:space="preserve">Ideal Customer Profile
(ICP) Precision &amp; GTM Fit</t>
  </si>
  <si>
    <t xml:space="preserve">Clarity and accuracy of the company's ideal customer profile and alignment of go-to-market motion with that ICP.</t>
  </si>
  <si>
    <t xml:space="preserve">ICP definition (industry, size, title, pain); average contract value (ACV) by segment; win rate by ICP segment; CAC by channel; sales cycle by ICP tier</t>
  </si>
  <si>
    <t xml:space="preserve">Diffuse ICP leads to inefficient GTM spend, low win rates, and inability to build repeatable sales motion; wrong ICP invalidates cohort retention data</t>
  </si>
  <si>
    <t xml:space="preserve">CRM segmentation data; sales pipeline analysis by segment; customer success health scores by cohort; sales team qualitative assessment</t>
  </si>
  <si>
    <t xml:space="preserve">Commercial / Operational</t>
  </si>
  <si>
    <t xml:space="preserve">Defined and validated ICP is a prerequisite for credible GTM scaling. Require segment-level win rate and CAC data, not blended averages.</t>
  </si>
  <si>
    <t xml:space="preserve">  Technology &amp; Execution
(Technical &amp; Execution Risk — TE)</t>
  </si>
  <si>
    <t xml:space="preserve">System Scalability &amp;
Architecture Risk</t>
  </si>
  <si>
    <t xml:space="preserve">Ability of the technology architecture to scale horizontally and vertically without material cost or performance degradation.</t>
  </si>
  <si>
    <t xml:space="preserve">Architecture design (monolith vs. microservices); load test results (peak concurrent users); auto-scaling configuration; database sharding strategy; cloud cost per customer unit</t>
  </si>
  <si>
    <t xml:space="preserve">Architecture collapses under growth causing outages and customer churn; high marginal infrastructure cost destroys gross margins at scale</t>
  </si>
  <si>
    <t xml:space="preserve">Engineering architecture review; load test reports (k6, Locust, JMeter); cloud cost analysis (AWS Cost Explorer); infrastructure-as-code review</t>
  </si>
  <si>
    <t xml:space="preserve">Technical</t>
  </si>
  <si>
    <t xml:space="preserve">SaaS benchmark: time to provision a new customer should approach zero. Monolithic architecture with no migration plan = elevated risk at Growth stage. Document load test parameters.</t>
  </si>
  <si>
    <t xml:space="preserve">Engineering Quality &amp;
Technical Debt</t>
  </si>
  <si>
    <t xml:space="preserve">Code quality, test coverage, technical debt burden, and team velocity as indicators of sustainable engineering execution.</t>
  </si>
  <si>
    <t xml:space="preserve">Cyclomatic complexity; unit test coverage (%); DORA metrics (deployment frequency, lead time, MTTR, change failure rate); technical debt ratio; bug reopen rate; code review standards</t>
  </si>
  <si>
    <t xml:space="preserve">Accumulating technical debt slows feature velocity, increases fragility, and creates security vulnerabilities; low test coverage leads to regression incidents</t>
  </si>
  <si>
    <t xml:space="preserve">Code review records; SonarQube/CodeClimate reports; Jira/Linear sprint metrics; DORA metrics dashboard; engineering team retrospectives</t>
  </si>
  <si>
    <t xml:space="preserve">Technical / Operational</t>
  </si>
  <si>
    <t xml:space="preserve">Unit test coverage below 60% is a warning threshold. DORA 'elite' performers deploy multiple times/day with &lt;1hr lead time. Document technical debt remediation plan.</t>
  </si>
  <si>
    <t xml:space="preserve">Cybersecurity Posture
&amp; Data Protection</t>
  </si>
  <si>
    <t xml:space="preserve">Strength of security controls, incident history, compliance certification status, and readiness to defend against material cyber threats.</t>
  </si>
  <si>
    <t xml:space="preserve">SOC 2 Type II or ISO 27001 certification status; last penetration test date and findings; open critical/high vulnerability count; breach history; incident response plan; RBAC implementation</t>
  </si>
  <si>
    <t xml:space="preserve">Data breach causes customer churn, regulatory fines, reputational damage, and potential litigation; security failures disqualify enterprise sales</t>
  </si>
  <si>
    <t xml:space="preserve">Penetration test reports (third-party); SOC 2 audit report; vulnerability scan outputs (Qualys, Tenable); incident logs; security policy documentation</t>
  </si>
  <si>
    <t xml:space="preserve">Technical / Regulatory</t>
  </si>
  <si>
    <t xml:space="preserve">SOC 2 Type II is table stakes for enterprise SaaS. Early stage: require breach response plan even if not yet certified. Flag open critical vulnerabilities as blocking items.</t>
  </si>
  <si>
    <t xml:space="preserve">Product Roadmap Execution
&amp; Engineering Velocity</t>
  </si>
  <si>
    <t xml:space="preserve">Track record of delivering committed product features on time and the team's ability to maintain development velocity.</t>
  </si>
  <si>
    <t xml:space="preserve">On-time feature delivery rate (%); sprint velocity trend (story points/sprint); epic slippage rate; ratio of planned vs. unplanned work; product roadmap coverage vs. competitor features</t>
  </si>
  <si>
    <t xml:space="preserve">Consistent slippage signals poor estimation, team capability gaps, or technical debt drag; loss of market window to faster-moving competitors</t>
  </si>
  <si>
    <t xml:space="preserve">Product roadmap tool (Jira, Linear, Asana); sprint review records; retrospective logs; product manager qualitative assessment</t>
  </si>
  <si>
    <t xml:space="preserve">Slippage &gt;20% consistently indicates systemic estimation or execution problem. Require roadmap with milestone dates and historical delivery performance data.</t>
  </si>
  <si>
    <t xml:space="preserve">Team Depth, Key-Person
Risk &amp; Talent Retention</t>
  </si>
  <si>
    <t xml:space="preserve">Concentration of critical technical and product knowledge in key individuals and the company's ability to retain engineering talent.</t>
  </si>
  <si>
    <t xml:space="preserve">Key-person concentration (% of critical systems owned by 1-2 engineers); attrition rate (engineering/product); bus factor; succession depth for CTO/CPO; compensation vs. market benchmarks</t>
  </si>
  <si>
    <t xml:space="preserve">Departure of key engineers triggers product delays, knowledge loss, and investor concern; talent attrition at Growth stage is a leading indicator of culture and compensation problems</t>
  </si>
  <si>
    <t xml:space="preserve">Organizational chart; LinkedIn tenure data; compensation benchmarks (Radford, Levels.fyi); employee engagement survey; exit interview records</t>
  </si>
  <si>
    <t xml:space="preserve">Operational / Human Capital</t>
  </si>
  <si>
    <t xml:space="preserve">Bus factor of 1 on core infrastructure is a critical risk. Require documentation of knowledge transfer and redundancy plan for key technical roles.</t>
  </si>
  <si>
    <t xml:space="preserve">  Regulatory &amp; Platform
(Regulatory &amp; External Constraint Risk — RE)</t>
  </si>
  <si>
    <t xml:space="preserve">Data Privacy Compliance
&amp; Regulatory Exposure</t>
  </si>
  <si>
    <t xml:space="preserve">Readiness and documented compliance with applicable data privacy regulations including GDPR, CCPA, HIPAA, COPPA, and sector-specific requirements.</t>
  </si>
  <si>
    <t xml:space="preserve">GDPR/CCPA data mapping completion; DPO appointment (if required); consent management implementation; data residency controls; breach notification procedures; industry-specific compliance status (HIPAA, FERPA, COPPA)</t>
  </si>
  <si>
    <t xml:space="preserve">Regulatory fines (GDPR: up to €20M or 4% global revenue); operational bans; user distrust triggering churn; enterprise procurement blocks due to non-compliance</t>
  </si>
  <si>
    <t xml:space="preserve">Legal review; compliance audit reports; TrustArc/OneTrust documentation; DPA agreements; breach notification logs; industry regulator guidance</t>
  </si>
  <si>
    <t xml:space="preserve">Legal / Regulatory</t>
  </si>
  <si>
    <t xml:space="preserve">Fines can reach €20M or 4% of global revenue under GDPR. HIPAA violations carry criminal penalties. Even early-stage companies face wiretapping law exposure (e.g., Meta pixel lawsuits).</t>
  </si>
  <si>
    <t xml:space="preserve">Platform Dependency
&amp; Vendor Lock-In Risk</t>
  </si>
  <si>
    <t xml:space="preserve">Degree of reliance on third-party platforms — cloud providers, app stores, API ecosystems — whose policy changes could materially disrupt operations.</t>
  </si>
  <si>
    <t xml:space="preserve">Single cloud provider revenue concentration (benchmark: &gt;40% = elevated); iOS/Android app store dependency; critical third-party API failure scenarios; multi-cloud or failover architecture; vendor contract terms</t>
  </si>
  <si>
    <t xml:space="preserve">App store removal eliminates distribution channel; cloud provider outage causes product downtime; API rate limits or pricing changes impair unit economics; vendor policy changes create existential risk</t>
  </si>
  <si>
    <t xml:space="preserve">Vendor contract terms; architecture review (cloud provider breakdown); app store developer agreements; API dependency mapping; uptime SLA documentation</t>
  </si>
  <si>
    <t xml:space="preserve">App store removal (e.g., Fortnite vs. Apple) is existential for consumer apps. Multi-cloud reduces risk but increases cost. Document top-5 third-party API dependencies and failure scenarios.</t>
  </si>
  <si>
    <t xml:space="preserve">Intellectual Property
Protection &amp; Infringement Risk</t>
  </si>
  <si>
    <t xml:space="preserve">Strength of IP protection (patents, trade secrets, copyright) and exposure to inbound IP infringement claims.</t>
  </si>
  <si>
    <t xml:space="preserve">Patent portfolio (granted vs. pending); trade secret protection protocols; open-source license compliance audit; inbound IP claim history; freedom-to-operate (FTO) opinion status</t>
  </si>
  <si>
    <t xml:space="preserve">IP infringement lawsuit triggers injunctions, damages, and product redesign; weak IP protection enables fast-follower competition; open-source license violations create material liability</t>
  </si>
  <si>
    <t xml:space="preserve">Patent search (Google Patents, USPTO); FTO legal opinion; IP counsel review; FOSSA open-source compliance tool; litigation search (PACER, Docket Alarm)</t>
  </si>
  <si>
    <t xml:space="preserve">Legal</t>
  </si>
  <si>
    <t xml:space="preserve">FTO opinion is essential for hardware and medical technology. Open-source license violations (GPL copyleft) can require open-sourcing proprietary code. Prior art search essential before patent filings.</t>
  </si>
  <si>
    <t xml:space="preserve">Sector-Specific Regulatory
Compliance Risk</t>
  </si>
  <si>
    <t xml:space="preserve">Exposure to sector-specific regulatory requirements (fintech, healthtech, edtech, govtech) beyond general data privacy law.</t>
  </si>
  <si>
    <t xml:space="preserve">Applicable sector licenses (money transmitter, broker-dealer, FDA clearance, state insurance); compliance program maturity; exam history; regulatory change pipeline</t>
  </si>
  <si>
    <t xml:space="preserve">Unaddressed sector licenses can trigger cease-and-desist orders, force product redesign, or require geographic rollback</t>
  </si>
  <si>
    <t xml:space="preserve">Legal counsel opinion; state/federal regulator communications; FinCEN/OCC/CFPB guidance (fintech); FDA 510(k) status (healthtech); FTC enforcement actions</t>
  </si>
  <si>
    <t xml:space="preserve">Fintech: money transmission licenses required in 47+ states. Healthtech: FDA clearance can take 12–24+ months for Class II devices. Assess regulatory roadmap before capital deployment.</t>
  </si>
  <si>
    <t xml:space="preserve">Contractual &amp;
Liability Exposure</t>
  </si>
  <si>
    <t xml:space="preserve">Exposure to material contract disputes, indemnification obligations, SLA breach liability, and litigation history.</t>
  </si>
  <si>
    <t xml:space="preserve">Customer contract indemnification clauses; SLA uptime commitments and breach history; contractual liability caps; pending or threatened litigation; enterprise contract terms</t>
  </si>
  <si>
    <t xml:space="preserve">Broad indemnification without liability caps creates unquantifiable downside; SLA breach at scale triggers financial penalties and customer churn</t>
  </si>
  <si>
    <t xml:space="preserve">Legal due diligence; customer contract review; SLA performance logs; litigation search; D&amp;O insurance coverage review</t>
  </si>
  <si>
    <t xml:space="preserve">Legal / Financial</t>
  </si>
  <si>
    <t xml:space="preserve">Require uncapped indemnification to be flagged as material risk. SLA commitments of 99.99% uptime require robust redundancy — assess whether engineering investment supports the commitment.</t>
  </si>
  <si>
    <t xml:space="preserve">  Financial &amp; Capital
(Commercial &amp; Financial Risk — CF)</t>
  </si>
  <si>
    <t xml:space="preserve">Burn Rate, Runway
&amp; Cash Management</t>
  </si>
  <si>
    <t xml:space="preserve">Current rate of cash consumption, remaining runway, and quality of cash management discipline.</t>
  </si>
  <si>
    <t xml:space="preserve">Monthly net burn rate (gross vs. net); cash runway in months; burn multiple (net burn / net new ARR); last 12 months actuals vs. budget variance; CFO/finance function maturity</t>
  </si>
  <si>
    <t xml:space="preserve">Runway &lt;12 months forces distressed fundraise at unfavorable terms; high burn without proven model destroys capital; budget variance &gt;20% signals weak financial controls</t>
  </si>
  <si>
    <t xml:space="preserve">Financial statements (P&amp;L, balance sheet, cash flow); board decks; cash flow model; investor updates</t>
  </si>
  <si>
    <t xml:space="preserve">Financial</t>
  </si>
  <si>
    <t xml:space="preserve">Early stage: burn &gt;$500K/mo without demonstrated PMF is high risk. Burn multiple &gt;2x indicates inefficient growth spend. Require monthly actuals vs. budget variance analysis.</t>
  </si>
  <si>
    <t xml:space="preserve">Unit Economics Integrity
(CAC, LTV, Payback Period)</t>
  </si>
  <si>
    <t xml:space="preserve">Soundness of customer-level economics including acquisition cost, lifetime value, gross margin contribution, and payback period.</t>
  </si>
  <si>
    <t xml:space="preserve">Customer Acquisition Cost (CAC) by channel; Lifetime Value (LTV) by cohort; LTV/CAC ratio (benchmark: &gt;3x); CAC payback period (benchmark: &lt;12-18 months SaaS); gross margin (%)</t>
  </si>
  <si>
    <t xml:space="preserve">Negative unit economics at scale destroy value regardless of revenue growth; high CAC payback inhibits reinvestment cycle; blended metrics mask channel-level inefficiencies</t>
  </si>
  <si>
    <t xml:space="preserve">Financial model; cohort analysis (Stripe, ChartMogul); CRM and billing data; sales commission and marketing spend records</t>
  </si>
  <si>
    <t xml:space="preserve">Financial / Commercial</t>
  </si>
  <si>
    <t xml:space="preserve">LTV/CAC &lt;3x is marginal. CAC payback &gt;18 months at Growth stage is warning threshold. Require channel-level CAC breakout, not blended. Validate gross margin after full COGS allocation.</t>
  </si>
  <si>
    <t xml:space="preserve">Revenue Quality, Scalability
&amp; Sales Efficiency</t>
  </si>
  <si>
    <t xml:space="preserve">Growth rate, revenue mix quality (ARR vs. one-time), and capital efficiency of revenue generation.</t>
  </si>
  <si>
    <t xml:space="preserve">ARR/MRR growth rate (MoM, YoY); revenue mix (recurring vs. services vs. one-time); Magic Number (= gross profit growth / prior period S&amp;M spend, benchmark: &gt;0.7); net revenue retention (NRR); sales efficiency ratio</t>
  </si>
  <si>
    <t xml:space="preserve">Revenue growth funded by disproportionate S&amp;M spend is unsustainable; high services mix signals product maturity gap; NRR &lt;100% means shrinking cohorts despite new customer adds</t>
  </si>
  <si>
    <t xml:space="preserve">Financial reports; CRM ARR waterfall; revenue recognition schedules; sales and marketing spend breakdowns</t>
  </si>
  <si>
    <t xml:space="preserve">Magic Number &lt;0.7 indicates inefficient sales spend. NRR &gt;120% is best-in-class SaaS signal. Services revenue &gt;30% of total signals implementation dependency, not product-led value.</t>
  </si>
  <si>
    <t xml:space="preserve">Funding Access &amp;
Capital Markets Risk</t>
  </si>
  <si>
    <t xml:space="preserve">Quality of investor relationships, likelihood of securing next financing round, and down-round or bridge-financing risk.</t>
  </si>
  <si>
    <t xml:space="preserve">Existing investor pro-rata participation signals; lead investor commitment level; term sheet pipeline quality; valuation vs. last round; VC dry powder availability in sector; alternative financing options</t>
  </si>
  <si>
    <t xml:space="preserve">Inability to raise next round forces distressed bridge, down-round, or liquidation; over-reliance on one investor creates concentration risk</t>
  </si>
  <si>
    <t xml:space="preserve">Investor discussions; cap table; term sheet pipeline; CB Insights VC market data; PitchBook funding round comparables</t>
  </si>
  <si>
    <t xml:space="preserve">Financial / Capital Markets</t>
  </si>
  <si>
    <t xml:space="preserve">Existing investor pro-rata participation is a strong positive signal. Check whether lead investor has remaining reserves. Assess whether valuation is supportable by current ARR multiple benchmarks.</t>
  </si>
  <si>
    <t xml:space="preserve">Financial Controls
&amp; Reporting Infrastructure</t>
  </si>
  <si>
    <t xml:space="preserve">Maturity of financial controls, accounting practices, and reporting infrastructure relative to company stage and investor expectations.</t>
  </si>
  <si>
    <t xml:space="preserve">Audit status (compiled, reviewed, or audited); accounting method (cash vs. accrual); revenue recognition compliance (ASC 606); financial close cycle time; CFO/controller tenure and qualifications</t>
  </si>
  <si>
    <t xml:space="preserve">Weak financial controls create restatement risk; non-GAAP revenue recognition inflates ARR; inadequate infrastructure delays due diligence and M&amp;A readiness</t>
  </si>
  <si>
    <t xml:space="preserve">Financial statements; auditor engagement letter; accounting policy documentation; board financial reporting package</t>
  </si>
  <si>
    <t xml:space="preserve">Financial / Compliance</t>
  </si>
  <si>
    <t xml:space="preserve">Growth-stage companies should have accrual accounting and ASC 606-compliant revenue recognition before Series B. Audited financials required for institutional rounds. Flag cash-basis accounting at scale.</t>
  </si>
  <si>
    <t xml:space="preserve">  Competitive &amp; Strategic
(Infrastructure, Integration &amp; Market Risk — IM)</t>
  </si>
  <si>
    <t xml:space="preserve">Competitive Intensity
&amp; Market Share Dynamics</t>
  </si>
  <si>
    <t xml:space="preserve">Degree of competitive pressure, funding levels of competitors, and trajectory of market share concentration.</t>
  </si>
  <si>
    <t xml:space="preserve">Competitor funding rounds (last 24 months); feature parity matrix vs. top 3 competitors; win rate trend (improving or declining); pricing pressure evidence; market share data (if available)</t>
  </si>
  <si>
    <t xml:space="preserve">Well-funded competitors can buy market share, forcing price reductions and eroding margins; rapid feature parity erases differentiation</t>
  </si>
  <si>
    <t xml:space="preserve">Crunchbase/PitchBook competitor funding data; win/loss analysis; G2/Capterra competitive reviews; analyst quadrant positioning (Gartner, Forrester); customer switching interviews</t>
  </si>
  <si>
    <t xml:space="preserve">Market / Strategic</t>
  </si>
  <si>
    <t xml:space="preserve">If primary competitors have &gt;10x funding, a niche focus or vertical specialization strategy may be required. Declining win rate is a leading indicator of competitive erosion.</t>
  </si>
  <si>
    <t xml:space="preserve">Defensibility &amp; Moat
Strength Assessment</t>
  </si>
  <si>
    <t xml:space="preserve">Depth and durability of competitive advantages including proprietary technology, data assets, network effects, brand, and switching costs.</t>
  </si>
  <si>
    <t xml:space="preserve">Patent portfolio scope and quality; proprietary dataset size and exclusivity; switching cost assessment (integration depth, data portability); brand NPS vs. competitors; K-factor and network density metrics</t>
  </si>
  <si>
    <t xml:space="preserve">Weak moat enables fast-follower cloning; commoditization compresses margins; data advantage erodes if competitors acquire comparable datasets</t>
  </si>
  <si>
    <t xml:space="preserve">IP portfolio review; customer exit cost analysis; network density metrics; brand survey data; technical architecture review for data asset uniqueness</t>
  </si>
  <si>
    <t xml:space="preserve">Strategic / Technical</t>
  </si>
  <si>
    <t xml:space="preserve">Strongest moats combine two or more sources (e.g., data + network effects, or switching costs + brand). Quantify switching cost in hours of migration effort and revenue loss per customer.</t>
  </si>
  <si>
    <t xml:space="preserve">Network Effects
&amp; Virality Mechanics</t>
  </si>
  <si>
    <t xml:space="preserve">Presence and strength of network effects that make the product more valuable as more users join, and viral growth mechanics.</t>
  </si>
  <si>
    <t xml:space="preserve">K-factor (viral coefficient); DAU/MAU ratio; transactions per active user; marketplace match rate/liquidity; referral program conversion; network density by cohort</t>
  </si>
  <si>
    <t xml:space="preserve">Weak network effects mean growth is purely sales-driven and expensive; low marketplace liquidity creates chicken-and-egg problem that prevents scaling</t>
  </si>
  <si>
    <t xml:space="preserve">Product analytics (K-factor tracking); marketplace transaction data; referral and viral loop conversion reports; cohort network density analysis</t>
  </si>
  <si>
    <t xml:space="preserve">Product / Strategic</t>
  </si>
  <si>
    <t xml:space="preserve">K-factor &gt;0.6 suggests meaningful viral loop. Low network density kills marketplace liquidity before critical mass. Validate that reported K-factor excludes spam and forced referrals.</t>
  </si>
  <si>
    <t xml:space="preserve">Leadership Team Quality
&amp; Execution Track Record</t>
  </si>
  <si>
    <t xml:space="preserve">Depth, domain expertise, and prior execution record of the founding and leadership team.</t>
  </si>
  <si>
    <t xml:space="preserve">Founder domain expertise (years in sector); prior exit or scale experience; team completeness (CEO/CTO/CPO/CFO); advisor quality; reference checks (3+ professional); retention of original founders</t>
  </si>
  <si>
    <t xml:space="preserve">Inexperienced leadership makes poor capital allocation decisions; technical founder without commercial capability fails GTM; leadership turnover disrupts strategy execution</t>
  </si>
  <si>
    <t xml:space="preserve">LinkedIn profiles; founder reference checks; prior company outcomes (Crunchbase, PitchBook); board composition; investor reference calls</t>
  </si>
  <si>
    <t xml:space="preserve">Require at least 3 professional reference checks per founder. Assess whether team has sold to the target ICP before. Second-time founders with exits have materially better outcomes statistically.</t>
  </si>
  <si>
    <t xml:space="preserve">Go-to-Market Scalability
&amp; Channel Risk</t>
  </si>
  <si>
    <t xml:space="preserve">Scalability and risk concentration of the primary revenue generation channels and partnership dependencies.</t>
  </si>
  <si>
    <t xml:space="preserve">Revenue concentration by channel (direct vs. partner vs. PLG); top customer revenue concentration (%); strategic partnership dependency (% revenue through single partner); channel diversification timeline</t>
  </si>
  <si>
    <t xml:space="preserve">High channel concentration creates single-point-of-failure risk; partner-dependent revenue can be de-listed; top 1-2 customer concentration creates existential revenue cliff</t>
  </si>
  <si>
    <t xml:space="preserve">CRM revenue by channel; partnership agreement terms; customer concentration analysis; channel performance metrics</t>
  </si>
  <si>
    <t xml:space="preserve">Top customer &gt;20% of ARR is a concentration risk threshold. Partnership revenue &gt;40% through a single partner requires diversification plan. PLG channels provide most defensible, scalable acquisition.</t>
  </si>
  <si>
    <t xml:space="preserve">TCA Technology — Project Scoring Calculator</t>
  </si>
  <si>
    <t xml:space="preserve">Company Name:</t>
  </si>
  <si>
    <t xml:space="preserve">Enter company metadata in yellow cells. Stage selection (Early / Growth / Mature) drives domain weights in the composite score. Technology Category (SaaS / Fintech / HealthTech / AI-ML / Marketplace / Enterprise) provides context for domain scoring calibration. All fields required under RIA recordkeeping policy.</t>
  </si>
  <si>
    <t xml:space="preserve">Assessment Date:</t>
  </si>
  <si>
    <t xml:space="preserve">Company Stage:</t>
  </si>
  <si>
    <t xml:space="preserve">Technology Category:</t>
  </si>
  <si>
    <t xml:space="preserve">Analyst:</t>
  </si>
  <si>
    <t xml:space="preserve">Reviewer:</t>
  </si>
  <si>
    <t xml:space="preserve">Assessment ID:</t>
  </si>
  <si>
    <t xml:space="preserve">Domain Score Input — Enter Domain Score (1.0–5.0) per Domain</t>
  </si>
  <si>
    <t xml:space="preserve">Domain (TCA Mapping)</t>
  </si>
  <si>
    <t xml:space="preserve">Code</t>
  </si>
  <si>
    <t xml:space="preserve">Early Stage
Weight</t>
  </si>
  <si>
    <t xml:space="preserve">Growth Stage
Weight</t>
  </si>
  <si>
    <t xml:space="preserve">Mature Stage
Weight</t>
  </si>
  <si>
    <t xml:space="preserve">Domain Score
(1.0–5.0)</t>
  </si>
  <si>
    <t xml:space="preserve">Wtd Score
(Early)</t>
  </si>
  <si>
    <t xml:space="preserve">Wtd Score
(Growth)</t>
  </si>
  <si>
    <t xml:space="preserve">Wtd Score
(Mature)</t>
  </si>
  <si>
    <t xml:space="preserve">Product-Market Fit</t>
  </si>
  <si>
    <t xml:space="preserve">FR</t>
  </si>
  <si>
    <t xml:space="preserve">Technology &amp; Execution</t>
  </si>
  <si>
    <t xml:space="preserve">TE</t>
  </si>
  <si>
    <t xml:space="preserve">Regulatory &amp; Platform</t>
  </si>
  <si>
    <t xml:space="preserve">RE</t>
  </si>
  <si>
    <t xml:space="preserve">Financial &amp; Capital</t>
  </si>
  <si>
    <t xml:space="preserve">CF</t>
  </si>
  <si>
    <t xml:space="preserve">Competitive &amp; Strategic</t>
  </si>
  <si>
    <t xml:space="preserve">IM</t>
  </si>
  <si>
    <t xml:space="preserve">Composite TCA Risk Score</t>
  </si>
  <si>
    <t xml:space="preserve">Early Stage Score</t>
  </si>
  <si>
    <t xml:space="preserve">Growth Stage Score</t>
  </si>
  <si>
    <t xml:space="preserve">Mature Stage Score</t>
  </si>
  <si>
    <t xml:space="preserve">⚠  RIA RECORDKEEPING NOTICE (SEC Rule 204-2):  This scoring record, including analyst inputs, domain weights applied, composite score, and evidence references, constitutes a research record of TokenCap Advisors LLC. It must be retained for a minimum of five (5) years in an immutable, reproducible format. Analyst and Reviewer fields above must be completed before finalization. Once approved, scores must not be altered without documented CRO authorization and version logging.</t>
  </si>
  <si>
    <t xml:space="preserve">TCA Technology Risk Framework  |  Audit &amp; RIA Compliance Log</t>
  </si>
  <si>
    <t xml:space="preserve">This log records all assessment activities performed using this framework. It constitutes a Books &amp; Records artifact under SEC Rule 204-2 (17 CFR § 275.204-2). Entries must be made contemporaneously. Records must be retained for a minimum of five (5) years in an immutable, reproducible format accessible to regulators upon request. Alteration of completed entries is prohibited.</t>
  </si>
  <si>
    <t xml:space="preserve">Log
#</t>
  </si>
  <si>
    <t xml:space="preserve">Assessment ID</t>
  </si>
  <si>
    <t xml:space="preserve">Company Name</t>
  </si>
  <si>
    <t xml:space="preserve">Date</t>
  </si>
  <si>
    <t xml:space="preserve">Analyst</t>
  </si>
  <si>
    <t xml:space="preserve">Reviewer</t>
  </si>
  <si>
    <t xml:space="preserve">Approved
Date</t>
  </si>
  <si>
    <t xml:space="preserve">Stage
Applied</t>
  </si>
  <si>
    <t xml:space="preserve">Tech Category</t>
  </si>
  <si>
    <t xml:space="preserve">Composite
Score</t>
  </si>
  <si>
    <t xml:space="preserve">Evidence Ref &amp;
Record Location</t>
  </si>
  <si>
    <t xml:space="preserve">Methodology Version Control Log</t>
  </si>
  <si>
    <t xml:space="preserve">Version</t>
  </si>
  <si>
    <t xml:space="preserve">Effective Date</t>
  </si>
  <si>
    <t xml:space="preserve">Change Description</t>
  </si>
  <si>
    <t xml:space="preserve">Approved By</t>
  </si>
  <si>
    <t xml:space="preserve">CRO Sign Date</t>
  </si>
  <si>
    <t xml:space="preserve">2026</t>
  </si>
  <si>
    <t xml:space="preserve">Initial release — TCA Intelligence Framework</t>
  </si>
  <si>
    <t xml:space="preserve">CRO</t>
  </si>
  <si>
    <t xml:space="preserve">[Date]</t>
  </si>
</sst>
</file>

<file path=xl/styles.xml><?xml version="1.0" encoding="utf-8"?>
<styleSheet xmlns="http://schemas.openxmlformats.org/spreadsheetml/2006/main">
  <numFmts count="3">
    <numFmt numFmtId="164" formatCode="General"/>
    <numFmt numFmtId="165" formatCode="0%"/>
    <numFmt numFmtId="166" formatCode="0.00"/>
  </numFmts>
  <fonts count="28">
    <font>
      <sz val="11"/>
      <color theme="1"/>
      <name val="Calibri"/>
      <family val="2"/>
      <charset val="1"/>
    </font>
    <font>
      <sz val="10"/>
      <name val="Arial"/>
      <family val="0"/>
    </font>
    <font>
      <sz val="10"/>
      <name val="Arial"/>
      <family val="0"/>
    </font>
    <font>
      <sz val="10"/>
      <name val="Arial"/>
      <family val="0"/>
    </font>
    <font>
      <b val="true"/>
      <sz val="16"/>
      <color rgb="FFC9A84C"/>
      <name val="Arial"/>
      <family val="0"/>
      <charset val="1"/>
    </font>
    <font>
      <b val="true"/>
      <sz val="13"/>
      <color rgb="FFFFFFFF"/>
      <name val="Arial"/>
      <family val="0"/>
      <charset val="1"/>
    </font>
    <font>
      <sz val="9"/>
      <color rgb="FF7F7F7F"/>
      <name val="Arial"/>
      <family val="0"/>
      <charset val="1"/>
    </font>
    <font>
      <b val="true"/>
      <sz val="10"/>
      <color rgb="FF1F2D54"/>
      <name val="Arial"/>
      <family val="0"/>
      <charset val="1"/>
    </font>
    <font>
      <sz val="9"/>
      <color rgb="FF404040"/>
      <name val="Arial"/>
      <family val="0"/>
      <charset val="1"/>
    </font>
    <font>
      <b val="true"/>
      <sz val="9"/>
      <color rgb="FF1F2D54"/>
      <name val="Arial"/>
      <family val="0"/>
      <charset val="1"/>
    </font>
    <font>
      <b val="true"/>
      <sz val="9"/>
      <color rgb="FFFFFFFF"/>
      <name val="Arial"/>
      <family val="0"/>
      <charset val="1"/>
    </font>
    <font>
      <sz val="9"/>
      <color rgb="FF1F2D54"/>
      <name val="Arial"/>
      <family val="0"/>
      <charset val="1"/>
    </font>
    <font>
      <sz val="8"/>
      <color rgb="FFC00000"/>
      <name val="Arial"/>
      <family val="0"/>
      <charset val="1"/>
    </font>
    <font>
      <sz val="8"/>
      <color rgb="FF404040"/>
      <name val="Arial"/>
      <family val="0"/>
      <charset val="1"/>
    </font>
    <font>
      <b val="true"/>
      <sz val="12"/>
      <color rgb="FFFFFFFF"/>
      <name val="Arial"/>
      <family val="0"/>
      <charset val="1"/>
    </font>
    <font>
      <i val="true"/>
      <sz val="8"/>
      <color rgb="FF7F7F7F"/>
      <name val="Arial"/>
      <family val="0"/>
      <charset val="1"/>
    </font>
    <font>
      <b val="true"/>
      <sz val="9"/>
      <color rgb="FF404040"/>
      <name val="Arial"/>
      <family val="0"/>
      <charset val="1"/>
    </font>
    <font>
      <sz val="9"/>
      <color rgb="FF0000FF"/>
      <name val="Arial"/>
      <family val="0"/>
      <charset val="1"/>
    </font>
    <font>
      <i val="true"/>
      <sz val="8"/>
      <color rgb="FFC9A84C"/>
      <name val="Arial"/>
      <family val="0"/>
      <charset val="1"/>
    </font>
    <font>
      <sz val="7.5"/>
      <color rgb="FFFFFFFF"/>
      <name val="Arial"/>
      <family val="0"/>
      <charset val="1"/>
    </font>
    <font>
      <b val="true"/>
      <sz val="8"/>
      <color rgb="FFFFFFFF"/>
      <name val="Arial"/>
      <family val="0"/>
      <charset val="1"/>
    </font>
    <font>
      <b val="true"/>
      <sz val="10"/>
      <color rgb="FFFFFFFF"/>
      <name val="Arial"/>
      <family val="0"/>
      <charset val="1"/>
    </font>
    <font>
      <sz val="9"/>
      <color rgb="FF000000"/>
      <name val="Arial"/>
      <family val="0"/>
      <charset val="1"/>
    </font>
    <font>
      <i val="true"/>
      <sz val="7"/>
      <color rgb="FF7F7F7F"/>
      <name val="Arial"/>
      <family val="0"/>
      <charset val="1"/>
    </font>
    <font>
      <b val="true"/>
      <sz val="10"/>
      <color rgb="FF0000FF"/>
      <name val="Arial"/>
      <family val="0"/>
      <charset val="1"/>
    </font>
    <font>
      <b val="true"/>
      <sz val="11"/>
      <color rgb="FF1F2D54"/>
      <name val="Arial"/>
      <family val="0"/>
      <charset val="1"/>
    </font>
    <font>
      <i val="true"/>
      <sz val="8"/>
      <color rgb="FFC00000"/>
      <name val="Arial"/>
      <family val="0"/>
      <charset val="1"/>
    </font>
    <font>
      <sz val="8"/>
      <color rgb="FF0000FF"/>
      <name val="Arial"/>
      <family val="0"/>
      <charset val="1"/>
    </font>
  </fonts>
  <fills count="14">
    <fill>
      <patternFill patternType="none"/>
    </fill>
    <fill>
      <patternFill patternType="gray125"/>
    </fill>
    <fill>
      <patternFill patternType="solid">
        <fgColor rgb="FF1F2D54"/>
        <bgColor rgb="FF404040"/>
      </patternFill>
    </fill>
    <fill>
      <patternFill patternType="solid">
        <fgColor rgb="FFF2F2F2"/>
        <bgColor rgb="FFEDE7F6"/>
      </patternFill>
    </fill>
    <fill>
      <patternFill patternType="solid">
        <fgColor rgb="FFFFFFFF"/>
        <bgColor rgb="FFF2F2F2"/>
      </patternFill>
    </fill>
    <fill>
      <patternFill patternType="solid">
        <fgColor rgb="FF1F4E79"/>
        <bgColor rgb="FF1F2D54"/>
      </patternFill>
    </fill>
    <fill>
      <patternFill patternType="solid">
        <fgColor rgb="FFDEEAF1"/>
        <bgColor rgb="FFEDE7F6"/>
      </patternFill>
    </fill>
    <fill>
      <patternFill patternType="solid">
        <fgColor rgb="FFE2EFDA"/>
        <bgColor rgb="FFDEEAF1"/>
      </patternFill>
    </fill>
    <fill>
      <patternFill patternType="solid">
        <fgColor rgb="FFFFF2CC"/>
        <bgColor rgb="FFFFFACD"/>
      </patternFill>
    </fill>
    <fill>
      <patternFill patternType="solid">
        <fgColor rgb="FFFCE4D6"/>
        <bgColor rgb="FFFFF2CC"/>
      </patternFill>
    </fill>
    <fill>
      <patternFill patternType="solid">
        <fgColor rgb="FFEDE7F6"/>
        <bgColor rgb="FFDEEAF1"/>
      </patternFill>
    </fill>
    <fill>
      <patternFill patternType="solid">
        <fgColor rgb="FF404040"/>
        <bgColor rgb="FF1F2D54"/>
      </patternFill>
    </fill>
    <fill>
      <patternFill patternType="solid">
        <fgColor rgb="FFFFFACD"/>
        <bgColor rgb="FFFFF2CC"/>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5" fontId="17" fillId="6"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5" fontId="17" fillId="7"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5" fontId="17" fillId="8"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5" fontId="17" fillId="9" borderId="1" xfId="0" applyFont="true" applyBorder="true" applyAlignment="true" applyProtection="false">
      <alignment horizontal="center" vertical="center" textRotation="0" wrapText="false" indent="0" shrinkToFit="false"/>
      <protection locked="true" hidden="false"/>
    </xf>
    <xf numFmtId="164" fontId="16" fillId="10" borderId="1" xfId="0" applyFont="true" applyBorder="true" applyAlignment="true" applyProtection="false">
      <alignment horizontal="left" vertical="center" textRotation="0" wrapText="true" indent="0" shrinkToFit="false"/>
      <protection locked="true" hidden="false"/>
    </xf>
    <xf numFmtId="165" fontId="17" fillId="1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16" fillId="3"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8" fillId="2" borderId="0" xfId="0" applyFont="true" applyBorder="true" applyAlignment="true" applyProtection="false">
      <alignment horizontal="center" vertical="center" textRotation="0" wrapText="false" indent="0" shrinkToFit="false"/>
      <protection locked="true" hidden="false"/>
    </xf>
    <xf numFmtId="164" fontId="19" fillId="11" borderId="0" xfId="0" applyFont="true" applyBorder="true" applyAlignment="true" applyProtection="false">
      <alignment horizontal="left"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center" vertical="center" textRotation="0" wrapText="false" indent="0" shrinkToFit="false"/>
      <protection locked="true" hidden="false"/>
    </xf>
    <xf numFmtId="164" fontId="22" fillId="6"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22"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22"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22" fillId="9"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left" vertical="top" textRotation="0" wrapText="true" indent="0" shrinkToFit="false"/>
      <protection locked="true" hidden="false"/>
    </xf>
    <xf numFmtId="164" fontId="22" fillId="1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21" fillId="5" borderId="0" xfId="0" applyFont="true" applyBorder="true" applyAlignment="true" applyProtection="false">
      <alignment horizontal="center" vertical="bottom" textRotation="0" wrapText="fals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24" fillId="13" borderId="1" xfId="0" applyFont="true" applyBorder="true" applyAlignment="true" applyProtection="false">
      <alignment horizontal="center" vertical="center" textRotation="0" wrapText="false" indent="0" shrinkToFit="false"/>
      <protection locked="true" hidden="false"/>
    </xf>
    <xf numFmtId="166" fontId="22" fillId="6"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5" fontId="8" fillId="7" borderId="1" xfId="0" applyFont="true" applyBorder="true" applyAlignment="true" applyProtection="false">
      <alignment horizontal="center" vertical="center" textRotation="0" wrapText="false" indent="0" shrinkToFit="false"/>
      <protection locked="true" hidden="false"/>
    </xf>
    <xf numFmtId="166" fontId="22" fillId="7"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5" fontId="8" fillId="8" borderId="1" xfId="0" applyFont="true" applyBorder="true" applyAlignment="true" applyProtection="false">
      <alignment horizontal="center" vertical="center" textRotation="0" wrapText="false" indent="0" shrinkToFit="false"/>
      <protection locked="true" hidden="false"/>
    </xf>
    <xf numFmtId="166" fontId="22" fillId="8" borderId="1" xfId="0" applyFont="true" applyBorder="true" applyAlignment="true" applyProtection="false">
      <alignment horizontal="center" vertical="bottom" textRotation="0" wrapText="fals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5" fontId="8" fillId="9" borderId="1" xfId="0" applyFont="true" applyBorder="true" applyAlignment="true" applyProtection="false">
      <alignment horizontal="center" vertical="center" textRotation="0" wrapText="false" indent="0" shrinkToFit="false"/>
      <protection locked="true" hidden="false"/>
    </xf>
    <xf numFmtId="166" fontId="22" fillId="9" borderId="1" xfId="0" applyFont="true" applyBorder="true" applyAlignment="true" applyProtection="false">
      <alignment horizontal="center" vertical="bottom"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5" fontId="8" fillId="10" borderId="1" xfId="0" applyFont="true" applyBorder="true" applyAlignment="true" applyProtection="false">
      <alignment horizontal="center" vertical="center" textRotation="0" wrapText="false" indent="0" shrinkToFit="false"/>
      <protection locked="true" hidden="false"/>
    </xf>
    <xf numFmtId="166" fontId="22" fillId="10" borderId="1" xfId="0" applyFont="tru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6" fontId="25" fillId="3" borderId="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7" fillId="3" borderId="1" xfId="0" applyFont="true" applyBorder="true" applyAlignment="false" applyProtection="false">
      <alignment horizontal="general" vertical="bottom" textRotation="0" wrapText="false" indent="0" shrinkToFit="false"/>
      <protection locked="true" hidden="false"/>
    </xf>
    <xf numFmtId="164" fontId="27" fillId="4" borderId="1" xfId="0" applyFont="true" applyBorder="true" applyAlignment="false" applyProtection="false">
      <alignment horizontal="general" vertical="bottom" textRotation="0" wrapText="false" indent="0" shrinkToFit="false"/>
      <protection locked="true" hidden="false"/>
    </xf>
    <xf numFmtId="164" fontId="21" fillId="11" borderId="0" xfId="0" applyFont="true" applyBorder="true" applyAlignment="true" applyProtection="false">
      <alignment horizontal="center" vertical="bottom" textRotation="0" wrapText="false" indent="0" shrinkToFit="false"/>
      <protection locked="true" hidden="false"/>
    </xf>
    <xf numFmtId="164" fontId="20" fillId="11" borderId="1" xfId="0" applyFont="true" applyBorder="true" applyAlignment="true" applyProtection="false">
      <alignment horizontal="center" vertical="bottom" textRotation="0" wrapText="true" indent="0" shrinkToFit="false"/>
      <protection locked="true" hidden="false"/>
    </xf>
    <xf numFmtId="164" fontId="13"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ACD"/>
      <rgbColor rgb="FFDEEAF1"/>
      <rgbColor rgb="FF660066"/>
      <rgbColor rgb="FFFF8080"/>
      <rgbColor rgb="FF0066CC"/>
      <rgbColor rgb="FFEDE7F6"/>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CE4D6"/>
      <rgbColor rgb="FF3366FF"/>
      <rgbColor rgb="FF33CCCC"/>
      <rgbColor rgb="FF99CC00"/>
      <rgbColor rgb="FFFFCC00"/>
      <rgbColor rgb="FFFF9900"/>
      <rgbColor rgb="FFFF6600"/>
      <rgbColor rgb="FF666699"/>
      <rgbColor rgb="FFC9A84C"/>
      <rgbColor rgb="FF1F2D54"/>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8"/>
    <col collapsed="false" customWidth="true" hidden="false" outlineLevel="0" max="3" min="3" style="0" width="30"/>
  </cols>
  <sheetData>
    <row r="1" customFormat="false" ht="15" hidden="false" customHeight="false" outlineLevel="0" collapsed="false">
      <c r="A1" s="1"/>
      <c r="B1" s="1"/>
      <c r="C1" s="1"/>
    </row>
    <row r="2" customFormat="false" ht="15" hidden="false" customHeight="false" outlineLevel="0" collapsed="false">
      <c r="A2" s="1"/>
      <c r="B2" s="1"/>
      <c r="C2" s="1"/>
    </row>
    <row r="3" customFormat="false" ht="27.75" hidden="false" customHeight="true" outlineLevel="0" collapsed="false">
      <c r="A3" s="1"/>
      <c r="B3" s="2" t="s">
        <v>0</v>
      </c>
      <c r="C3" s="1"/>
    </row>
    <row r="4" customFormat="false" ht="16.15" hidden="false" customHeight="false" outlineLevel="0" collapsed="false">
      <c r="A4" s="1"/>
      <c r="B4" s="3" t="s">
        <v>1</v>
      </c>
      <c r="C4" s="1"/>
    </row>
    <row r="5" customFormat="false" ht="15" hidden="false" customHeight="false" outlineLevel="0" collapsed="false">
      <c r="A5" s="1"/>
      <c r="B5" s="4" t="s">
        <v>2</v>
      </c>
      <c r="C5" s="1"/>
    </row>
    <row r="6" customFormat="false" ht="15" hidden="false" customHeight="false" outlineLevel="0" collapsed="false">
      <c r="A6" s="1"/>
      <c r="B6" s="1"/>
      <c r="C6" s="1"/>
    </row>
    <row r="8" customFormat="false" ht="15" hidden="false" customHeight="false" outlineLevel="0" collapsed="false">
      <c r="B8" s="5" t="s">
        <v>3</v>
      </c>
    </row>
    <row r="9" customFormat="false" ht="85.05" hidden="false" customHeight="false" outlineLevel="0" collapsed="false">
      <c r="B9" s="6" t="s">
        <v>4</v>
      </c>
    </row>
    <row r="12" customFormat="false" ht="18" hidden="false" customHeight="true" outlineLevel="0" collapsed="false">
      <c r="B12" s="7" t="s">
        <v>5</v>
      </c>
      <c r="C12" s="6" t="s">
        <v>6</v>
      </c>
    </row>
    <row r="13" customFormat="false" ht="18" hidden="false" customHeight="true" outlineLevel="0" collapsed="false">
      <c r="B13" s="7" t="s">
        <v>7</v>
      </c>
      <c r="C13" s="6" t="s">
        <v>8</v>
      </c>
    </row>
    <row r="14" customFormat="false" ht="18" hidden="false" customHeight="true" outlineLevel="0" collapsed="false">
      <c r="B14" s="7" t="s">
        <v>9</v>
      </c>
      <c r="C14" s="6" t="s">
        <v>10</v>
      </c>
    </row>
    <row r="15" customFormat="false" ht="18" hidden="false" customHeight="true" outlineLevel="0" collapsed="false">
      <c r="B15" s="7" t="s">
        <v>11</v>
      </c>
      <c r="C15" s="6" t="s">
        <v>12</v>
      </c>
    </row>
    <row r="16" customFormat="false" ht="18" hidden="false" customHeight="true" outlineLevel="0" collapsed="false">
      <c r="B16" s="7" t="s">
        <v>13</v>
      </c>
      <c r="C16" s="6" t="s">
        <v>14</v>
      </c>
    </row>
    <row r="17" customFormat="false" ht="18" hidden="false" customHeight="true" outlineLevel="0" collapsed="false">
      <c r="B17" s="7" t="s">
        <v>15</v>
      </c>
      <c r="C17" s="6" t="s">
        <v>16</v>
      </c>
    </row>
    <row r="18" customFormat="false" ht="18" hidden="false" customHeight="true" outlineLevel="0" collapsed="false">
      <c r="B18" s="7" t="s">
        <v>17</v>
      </c>
      <c r="C18" s="6" t="s">
        <v>18</v>
      </c>
    </row>
    <row r="19" customFormat="false" ht="18" hidden="false" customHeight="true" outlineLevel="0" collapsed="false">
      <c r="B19" s="7" t="s">
        <v>19</v>
      </c>
      <c r="C19" s="6" t="s">
        <v>20</v>
      </c>
    </row>
    <row r="22" customFormat="false" ht="15" hidden="false" customHeight="false" outlineLevel="0" collapsed="false">
      <c r="B22" s="5" t="s">
        <v>21</v>
      </c>
    </row>
    <row r="23" customFormat="false" ht="18" hidden="false" customHeight="true" outlineLevel="0" collapsed="false">
      <c r="B23" s="8" t="s">
        <v>22</v>
      </c>
      <c r="C23" s="8" t="s">
        <v>23</v>
      </c>
    </row>
    <row r="24" customFormat="false" ht="18" hidden="false" customHeight="true" outlineLevel="0" collapsed="false">
      <c r="B24" s="9" t="s">
        <v>24</v>
      </c>
      <c r="C24" s="10" t="s">
        <v>25</v>
      </c>
    </row>
    <row r="25" customFormat="false" ht="18" hidden="false" customHeight="true" outlineLevel="0" collapsed="false">
      <c r="B25" s="9" t="s">
        <v>26</v>
      </c>
      <c r="C25" s="10" t="s">
        <v>27</v>
      </c>
    </row>
    <row r="26" customFormat="false" ht="18" hidden="false" customHeight="true" outlineLevel="0" collapsed="false">
      <c r="B26" s="9" t="s">
        <v>28</v>
      </c>
      <c r="C26" s="10" t="s">
        <v>29</v>
      </c>
    </row>
    <row r="27" customFormat="false" ht="18" hidden="false" customHeight="true" outlineLevel="0" collapsed="false">
      <c r="B27" s="9" t="s">
        <v>30</v>
      </c>
      <c r="C27" s="10" t="s">
        <v>31</v>
      </c>
    </row>
    <row r="28" customFormat="false" ht="18" hidden="false" customHeight="true" outlineLevel="0" collapsed="false">
      <c r="B28" s="9" t="s">
        <v>32</v>
      </c>
      <c r="C28" s="10" t="s">
        <v>33</v>
      </c>
    </row>
    <row r="31" customFormat="false" ht="37.3" hidden="false" customHeight="false" outlineLevel="0" collapsed="false">
      <c r="B31" s="11" t="s">
        <v>34</v>
      </c>
    </row>
    <row r="34" customFormat="false" ht="15" hidden="false" customHeight="false" outlineLevel="0" collapsed="false">
      <c r="B34" s="7" t="s">
        <v>35</v>
      </c>
    </row>
    <row r="35" customFormat="false" ht="69.75" hidden="false" customHeight="true" outlineLevel="0" collapsed="false">
      <c r="B35" s="12"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5" min="3" style="0" width="16"/>
    <col collapsed="false" customWidth="true" hidden="false" outlineLevel="0" max="6" min="6" style="0" width="52"/>
  </cols>
  <sheetData>
    <row r="2" customFormat="false" ht="25.5" hidden="false" customHeight="true" outlineLevel="0" collapsed="false">
      <c r="B2" s="13" t="s">
        <v>37</v>
      </c>
      <c r="C2" s="13"/>
      <c r="D2" s="13"/>
      <c r="E2" s="13"/>
      <c r="F2" s="13"/>
    </row>
    <row r="3" customFormat="false" ht="27.75" hidden="false" customHeight="true" outlineLevel="0" collapsed="false">
      <c r="B3" s="14" t="s">
        <v>38</v>
      </c>
      <c r="C3" s="14"/>
      <c r="D3" s="14"/>
      <c r="E3" s="14"/>
      <c r="F3" s="14"/>
    </row>
    <row r="5" customFormat="false" ht="36" hidden="false" customHeight="true" outlineLevel="0" collapsed="false">
      <c r="B5" s="15" t="s">
        <v>39</v>
      </c>
      <c r="C5" s="15" t="s">
        <v>40</v>
      </c>
      <c r="D5" s="15" t="s">
        <v>41</v>
      </c>
      <c r="E5" s="15" t="s">
        <v>42</v>
      </c>
      <c r="F5" s="15" t="s">
        <v>43</v>
      </c>
    </row>
    <row r="6" customFormat="false" ht="42" hidden="false" customHeight="true" outlineLevel="0" collapsed="false">
      <c r="B6" s="16" t="s">
        <v>44</v>
      </c>
      <c r="C6" s="17" t="n">
        <v>0.4</v>
      </c>
      <c r="D6" s="17" t="n">
        <v>0.25</v>
      </c>
      <c r="E6" s="17" t="n">
        <v>0.15</v>
      </c>
      <c r="F6" s="18" t="s">
        <v>45</v>
      </c>
    </row>
    <row r="7" customFormat="false" ht="42" hidden="false" customHeight="true" outlineLevel="0" collapsed="false">
      <c r="B7" s="19" t="s">
        <v>46</v>
      </c>
      <c r="C7" s="20" t="n">
        <v>0.25</v>
      </c>
      <c r="D7" s="20" t="n">
        <v>0.25</v>
      </c>
      <c r="E7" s="20" t="n">
        <v>0.2</v>
      </c>
      <c r="F7" s="18" t="s">
        <v>47</v>
      </c>
    </row>
    <row r="8" customFormat="false" ht="42" hidden="false" customHeight="true" outlineLevel="0" collapsed="false">
      <c r="B8" s="21" t="s">
        <v>48</v>
      </c>
      <c r="C8" s="22" t="n">
        <v>0.05</v>
      </c>
      <c r="D8" s="22" t="n">
        <v>0.05</v>
      </c>
      <c r="E8" s="22" t="n">
        <v>0.1</v>
      </c>
      <c r="F8" s="18" t="s">
        <v>49</v>
      </c>
    </row>
    <row r="9" customFormat="false" ht="42" hidden="false" customHeight="true" outlineLevel="0" collapsed="false">
      <c r="B9" s="23" t="s">
        <v>50</v>
      </c>
      <c r="C9" s="24" t="n">
        <v>0.15</v>
      </c>
      <c r="D9" s="24" t="n">
        <v>0.2</v>
      </c>
      <c r="E9" s="24" t="n">
        <v>0.25</v>
      </c>
      <c r="F9" s="18" t="s">
        <v>51</v>
      </c>
    </row>
    <row r="10" customFormat="false" ht="42" hidden="false" customHeight="true" outlineLevel="0" collapsed="false">
      <c r="B10" s="25" t="s">
        <v>52</v>
      </c>
      <c r="C10" s="26" t="n">
        <v>0.15</v>
      </c>
      <c r="D10" s="26" t="n">
        <v>0.25</v>
      </c>
      <c r="E10" s="26" t="n">
        <v>0.3</v>
      </c>
      <c r="F10" s="18" t="s">
        <v>53</v>
      </c>
    </row>
    <row r="11" customFormat="false" ht="18" hidden="false" customHeight="true" outlineLevel="0" collapsed="false">
      <c r="B11" s="27" t="s">
        <v>54</v>
      </c>
      <c r="C11" s="28" t="n">
        <f aca="false">SUM(C6:C10)</f>
        <v>1</v>
      </c>
      <c r="D11" s="28" t="n">
        <f aca="false">SUM(D6:D10)</f>
        <v>1</v>
      </c>
      <c r="E11" s="28" t="n">
        <f aca="false">SUM(E6:E10)</f>
        <v>1</v>
      </c>
    </row>
    <row r="13" customFormat="false" ht="54.75" hidden="false" customHeight="true" outlineLevel="0" collapsed="false">
      <c r="B13" s="29" t="s">
        <v>55</v>
      </c>
      <c r="C13" s="29"/>
      <c r="D13" s="29"/>
      <c r="E13" s="29"/>
      <c r="F13" s="29"/>
    </row>
    <row r="14" customFormat="false" ht="15" hidden="false" customHeight="false" outlineLevel="0" collapsed="false">
      <c r="B14" s="29"/>
      <c r="C14" s="29"/>
      <c r="D14" s="29"/>
      <c r="E14" s="29"/>
      <c r="F14" s="29"/>
    </row>
  </sheetData>
  <mergeCells count="3">
    <mergeCell ref="B2:F2"/>
    <mergeCell ref="B3:F3"/>
    <mergeCell ref="B13: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30"/>
    <col collapsed="false" customWidth="true" hidden="false" outlineLevel="0" max="4" min="4" style="0" width="28"/>
    <col collapsed="false" customWidth="true" hidden="false" outlineLevel="0" max="6" min="5" style="0" width="38"/>
    <col collapsed="false" customWidth="true" hidden="false" outlineLevel="0" max="7" min="7" style="0" width="24"/>
    <col collapsed="false" customWidth="true" hidden="false" outlineLevel="0" max="8" min="8" style="0" width="22"/>
    <col collapsed="false" customWidth="true" hidden="false" outlineLevel="0" max="11" min="9" style="0" width="10"/>
    <col collapsed="false" customWidth="true" hidden="false" outlineLevel="0" max="13" min="12" style="0" width="12"/>
    <col collapsed="false" customWidth="true" hidden="false" outlineLevel="0" max="14" min="14" style="0" width="28"/>
    <col collapsed="false" customWidth="true" hidden="false" outlineLevel="0" max="15" min="15" style="0" width="32"/>
  </cols>
  <sheetData>
    <row r="2" customFormat="false" ht="25.5" hidden="false" customHeight="true" outlineLevel="0" collapsed="false">
      <c r="B2" s="13" t="s">
        <v>56</v>
      </c>
      <c r="C2" s="13"/>
      <c r="D2" s="13"/>
      <c r="E2" s="13"/>
      <c r="F2" s="13"/>
      <c r="G2" s="13"/>
      <c r="H2" s="13"/>
      <c r="I2" s="13"/>
      <c r="J2" s="13"/>
      <c r="K2" s="13"/>
      <c r="L2" s="13"/>
      <c r="M2" s="13"/>
      <c r="N2" s="13"/>
      <c r="O2" s="13"/>
    </row>
    <row r="3" customFormat="false" ht="15.75" hidden="false" customHeight="true" outlineLevel="0" collapsed="false">
      <c r="B3" s="30" t="s">
        <v>57</v>
      </c>
      <c r="C3" s="30"/>
      <c r="D3" s="30"/>
      <c r="E3" s="30"/>
      <c r="F3" s="30"/>
      <c r="G3" s="30"/>
      <c r="H3" s="30"/>
      <c r="I3" s="30"/>
      <c r="J3" s="30"/>
      <c r="K3" s="30"/>
      <c r="L3" s="30"/>
      <c r="M3" s="30"/>
      <c r="N3" s="30"/>
      <c r="O3" s="30"/>
    </row>
    <row r="4" customFormat="false" ht="21.75" hidden="false" customHeight="true" outlineLevel="0" collapsed="false">
      <c r="B4" s="31" t="s">
        <v>58</v>
      </c>
      <c r="C4" s="31"/>
      <c r="D4" s="31"/>
      <c r="E4" s="31"/>
      <c r="F4" s="31"/>
      <c r="G4" s="31"/>
      <c r="H4" s="31"/>
      <c r="I4" s="31"/>
      <c r="J4" s="31"/>
      <c r="K4" s="31"/>
      <c r="L4" s="31"/>
      <c r="M4" s="31"/>
      <c r="N4" s="31"/>
      <c r="O4" s="31"/>
    </row>
    <row r="6" customFormat="false" ht="49.5" hidden="false" customHeight="true" outlineLevel="0" collapsed="false">
      <c r="B6" s="32" t="s">
        <v>59</v>
      </c>
      <c r="C6" s="32" t="s">
        <v>60</v>
      </c>
      <c r="D6" s="32" t="s">
        <v>61</v>
      </c>
      <c r="E6" s="32" t="s">
        <v>62</v>
      </c>
      <c r="F6" s="32" t="s">
        <v>63</v>
      </c>
      <c r="G6" s="32" t="s">
        <v>64</v>
      </c>
      <c r="H6" s="32" t="s">
        <v>65</v>
      </c>
      <c r="I6" s="32" t="s">
        <v>66</v>
      </c>
      <c r="J6" s="32" t="s">
        <v>67</v>
      </c>
      <c r="K6" s="32" t="s">
        <v>68</v>
      </c>
      <c r="L6" s="32" t="s">
        <v>69</v>
      </c>
      <c r="M6" s="32" t="s">
        <v>70</v>
      </c>
      <c r="N6" s="32" t="s">
        <v>71</v>
      </c>
      <c r="O6" s="32" t="s">
        <v>72</v>
      </c>
      <c r="P6" s="32" t="s">
        <v>73</v>
      </c>
    </row>
    <row r="7" customFormat="false" ht="27.75" hidden="false" customHeight="true" outlineLevel="0" collapsed="false">
      <c r="B7" s="33" t="s">
        <v>74</v>
      </c>
      <c r="C7" s="33"/>
      <c r="D7" s="33"/>
      <c r="E7" s="33"/>
      <c r="F7" s="33"/>
      <c r="G7" s="33"/>
      <c r="H7" s="33"/>
      <c r="I7" s="33"/>
      <c r="J7" s="33"/>
      <c r="K7" s="33"/>
      <c r="L7" s="33"/>
      <c r="M7" s="33"/>
      <c r="N7" s="33"/>
      <c r="O7" s="33"/>
    </row>
    <row r="8" customFormat="false" ht="64.5" hidden="false" customHeight="true" outlineLevel="0" collapsed="false">
      <c r="B8" s="34" t="n">
        <v>1</v>
      </c>
      <c r="C8" s="35"/>
      <c r="D8" s="35" t="s">
        <v>75</v>
      </c>
      <c r="E8" s="35" t="s">
        <v>76</v>
      </c>
      <c r="F8" s="35" t="s">
        <v>77</v>
      </c>
      <c r="G8" s="35" t="s">
        <v>78</v>
      </c>
      <c r="H8" s="35" t="s">
        <v>79</v>
      </c>
      <c r="I8" s="35" t="s">
        <v>80</v>
      </c>
      <c r="J8" s="36"/>
      <c r="K8" s="36"/>
      <c r="L8" s="37" t="str">
        <f aca="false">IF(AND(ISNUMBER(J8),ISNUMBER(K8)),J8*K8,"")</f>
        <v/>
      </c>
      <c r="M8" s="36"/>
      <c r="N8" s="37" t="str">
        <f aca="false">IF(AND(ISNUMBER(K8),ISNUMBER(L8),L8&lt;&gt;0),K8/L8,"")</f>
        <v/>
      </c>
      <c r="O8" s="35" t="s">
        <v>81</v>
      </c>
      <c r="P8" s="38" t="s">
        <v>82</v>
      </c>
    </row>
    <row r="9" customFormat="false" ht="64.5" hidden="false" customHeight="true" outlineLevel="0" collapsed="false">
      <c r="B9" s="34" t="n">
        <v>2</v>
      </c>
      <c r="C9" s="35"/>
      <c r="D9" s="35" t="s">
        <v>83</v>
      </c>
      <c r="E9" s="35" t="s">
        <v>84</v>
      </c>
      <c r="F9" s="35" t="s">
        <v>85</v>
      </c>
      <c r="G9" s="35" t="s">
        <v>86</v>
      </c>
      <c r="H9" s="35" t="s">
        <v>87</v>
      </c>
      <c r="I9" s="35" t="s">
        <v>88</v>
      </c>
      <c r="J9" s="36"/>
      <c r="K9" s="36"/>
      <c r="L9" s="37" t="str">
        <f aca="false">IF(AND(ISNUMBER(J9),ISNUMBER(K9)),J9*K9,"")</f>
        <v/>
      </c>
      <c r="M9" s="36"/>
      <c r="N9" s="37" t="str">
        <f aca="false">IF(AND(ISNUMBER(K9),ISNUMBER(L9),L9&lt;&gt;0),K9/L9,"")</f>
        <v/>
      </c>
      <c r="O9" s="35" t="s">
        <v>89</v>
      </c>
      <c r="P9" s="38" t="s">
        <v>82</v>
      </c>
    </row>
    <row r="10" customFormat="false" ht="64.5" hidden="false" customHeight="true" outlineLevel="0" collapsed="false">
      <c r="B10" s="34" t="n">
        <v>3</v>
      </c>
      <c r="C10" s="35"/>
      <c r="D10" s="35" t="s">
        <v>90</v>
      </c>
      <c r="E10" s="35" t="s">
        <v>91</v>
      </c>
      <c r="F10" s="35" t="s">
        <v>92</v>
      </c>
      <c r="G10" s="35" t="s">
        <v>93</v>
      </c>
      <c r="H10" s="35" t="s">
        <v>94</v>
      </c>
      <c r="I10" s="35" t="s">
        <v>95</v>
      </c>
      <c r="J10" s="36"/>
      <c r="K10" s="36"/>
      <c r="L10" s="37" t="str">
        <f aca="false">IF(AND(ISNUMBER(J10),ISNUMBER(K10)),J10*K10,"")</f>
        <v/>
      </c>
      <c r="M10" s="36"/>
      <c r="N10" s="37" t="str">
        <f aca="false">IF(AND(ISNUMBER(K10),ISNUMBER(L10),L10&lt;&gt;0),K10/L10,"")</f>
        <v/>
      </c>
      <c r="O10" s="35" t="s">
        <v>96</v>
      </c>
      <c r="P10" s="38" t="s">
        <v>82</v>
      </c>
    </row>
    <row r="11" customFormat="false" ht="64.5" hidden="false" customHeight="true" outlineLevel="0" collapsed="false">
      <c r="B11" s="34" t="n">
        <v>4</v>
      </c>
      <c r="C11" s="35"/>
      <c r="D11" s="35" t="s">
        <v>97</v>
      </c>
      <c r="E11" s="35" t="s">
        <v>98</v>
      </c>
      <c r="F11" s="35" t="s">
        <v>99</v>
      </c>
      <c r="G11" s="35" t="s">
        <v>100</v>
      </c>
      <c r="H11" s="35" t="s">
        <v>101</v>
      </c>
      <c r="I11" s="35" t="s">
        <v>102</v>
      </c>
      <c r="J11" s="36"/>
      <c r="K11" s="36"/>
      <c r="L11" s="37" t="str">
        <f aca="false">IF(AND(ISNUMBER(J11),ISNUMBER(K11)),J11*K11,"")</f>
        <v/>
      </c>
      <c r="M11" s="36"/>
      <c r="N11" s="37" t="str">
        <f aca="false">IF(AND(ISNUMBER(K11),ISNUMBER(L11),L11&lt;&gt;0),K11/L11,"")</f>
        <v/>
      </c>
      <c r="O11" s="35" t="s">
        <v>103</v>
      </c>
      <c r="P11" s="38" t="s">
        <v>82</v>
      </c>
    </row>
    <row r="12" customFormat="false" ht="64.5" hidden="false" customHeight="true" outlineLevel="0" collapsed="false">
      <c r="B12" s="34" t="n">
        <v>5</v>
      </c>
      <c r="C12" s="35"/>
      <c r="D12" s="35" t="s">
        <v>104</v>
      </c>
      <c r="E12" s="35" t="s">
        <v>105</v>
      </c>
      <c r="F12" s="35" t="s">
        <v>106</v>
      </c>
      <c r="G12" s="35" t="s">
        <v>107</v>
      </c>
      <c r="H12" s="35" t="s">
        <v>108</v>
      </c>
      <c r="I12" s="35" t="s">
        <v>109</v>
      </c>
      <c r="J12" s="36"/>
      <c r="K12" s="36"/>
      <c r="L12" s="37" t="str">
        <f aca="false">IF(AND(ISNUMBER(J12),ISNUMBER(K12)),J12*K12,"")</f>
        <v/>
      </c>
      <c r="M12" s="36"/>
      <c r="N12" s="37" t="str">
        <f aca="false">IF(AND(ISNUMBER(K12),ISNUMBER(L12),L12&lt;&gt;0),K12/L12,"")</f>
        <v/>
      </c>
      <c r="O12" s="35" t="s">
        <v>110</v>
      </c>
      <c r="P12" s="38" t="s">
        <v>82</v>
      </c>
    </row>
    <row r="13" customFormat="false" ht="27.75" hidden="false" customHeight="true" outlineLevel="0" collapsed="false">
      <c r="B13" s="33" t="s">
        <v>111</v>
      </c>
      <c r="C13" s="33"/>
      <c r="D13" s="33"/>
      <c r="E13" s="33"/>
      <c r="F13" s="33"/>
      <c r="G13" s="33"/>
      <c r="H13" s="33"/>
      <c r="I13" s="33"/>
      <c r="J13" s="33"/>
      <c r="K13" s="33"/>
      <c r="L13" s="33"/>
      <c r="M13" s="33"/>
      <c r="N13" s="33"/>
      <c r="O13" s="33"/>
    </row>
    <row r="14" customFormat="false" ht="64.5" hidden="false" customHeight="true" outlineLevel="0" collapsed="false">
      <c r="B14" s="34" t="n">
        <v>6</v>
      </c>
      <c r="C14" s="39"/>
      <c r="D14" s="39" t="s">
        <v>112</v>
      </c>
      <c r="E14" s="39" t="s">
        <v>113</v>
      </c>
      <c r="F14" s="39" t="s">
        <v>114</v>
      </c>
      <c r="G14" s="39" t="s">
        <v>115</v>
      </c>
      <c r="H14" s="39" t="s">
        <v>116</v>
      </c>
      <c r="I14" s="39" t="s">
        <v>117</v>
      </c>
      <c r="J14" s="36"/>
      <c r="K14" s="36"/>
      <c r="L14" s="40" t="str">
        <f aca="false">IF(AND(ISNUMBER(J14),ISNUMBER(K14)),J14*K14,"")</f>
        <v/>
      </c>
      <c r="M14" s="36"/>
      <c r="N14" s="40" t="str">
        <f aca="false">IF(AND(ISNUMBER(K14),ISNUMBER(L14),L14&lt;&gt;0),K14/L14,"")</f>
        <v/>
      </c>
      <c r="O14" s="39" t="s">
        <v>118</v>
      </c>
      <c r="P14" s="38" t="s">
        <v>82</v>
      </c>
    </row>
    <row r="15" customFormat="false" ht="64.5" hidden="false" customHeight="true" outlineLevel="0" collapsed="false">
      <c r="B15" s="34" t="n">
        <v>7</v>
      </c>
      <c r="C15" s="39"/>
      <c r="D15" s="39" t="s">
        <v>119</v>
      </c>
      <c r="E15" s="39" t="s">
        <v>120</v>
      </c>
      <c r="F15" s="39" t="s">
        <v>121</v>
      </c>
      <c r="G15" s="39" t="s">
        <v>122</v>
      </c>
      <c r="H15" s="39" t="s">
        <v>123</v>
      </c>
      <c r="I15" s="39" t="s">
        <v>124</v>
      </c>
      <c r="J15" s="36"/>
      <c r="K15" s="36"/>
      <c r="L15" s="40" t="str">
        <f aca="false">IF(AND(ISNUMBER(J15),ISNUMBER(K15)),J15*K15,"")</f>
        <v/>
      </c>
      <c r="M15" s="36"/>
      <c r="N15" s="40" t="str">
        <f aca="false">IF(AND(ISNUMBER(K15),ISNUMBER(L15),L15&lt;&gt;0),K15/L15,"")</f>
        <v/>
      </c>
      <c r="O15" s="39" t="s">
        <v>125</v>
      </c>
      <c r="P15" s="38" t="s">
        <v>82</v>
      </c>
    </row>
    <row r="16" customFormat="false" ht="64.5" hidden="false" customHeight="true" outlineLevel="0" collapsed="false">
      <c r="B16" s="34" t="n">
        <v>8</v>
      </c>
      <c r="C16" s="39"/>
      <c r="D16" s="39" t="s">
        <v>126</v>
      </c>
      <c r="E16" s="39" t="s">
        <v>127</v>
      </c>
      <c r="F16" s="39" t="s">
        <v>128</v>
      </c>
      <c r="G16" s="39" t="s">
        <v>129</v>
      </c>
      <c r="H16" s="39" t="s">
        <v>130</v>
      </c>
      <c r="I16" s="39" t="s">
        <v>131</v>
      </c>
      <c r="J16" s="36"/>
      <c r="K16" s="36"/>
      <c r="L16" s="40" t="str">
        <f aca="false">IF(AND(ISNUMBER(J16),ISNUMBER(K16)),J16*K16,"")</f>
        <v/>
      </c>
      <c r="M16" s="36"/>
      <c r="N16" s="40" t="str">
        <f aca="false">IF(AND(ISNUMBER(K16),ISNUMBER(L16),L16&lt;&gt;0),K16/L16,"")</f>
        <v/>
      </c>
      <c r="O16" s="39" t="s">
        <v>132</v>
      </c>
      <c r="P16" s="38" t="s">
        <v>82</v>
      </c>
    </row>
    <row r="17" customFormat="false" ht="64.5" hidden="false" customHeight="true" outlineLevel="0" collapsed="false">
      <c r="B17" s="34" t="n">
        <v>9</v>
      </c>
      <c r="C17" s="39"/>
      <c r="D17" s="39" t="s">
        <v>133</v>
      </c>
      <c r="E17" s="39" t="s">
        <v>134</v>
      </c>
      <c r="F17" s="39" t="s">
        <v>135</v>
      </c>
      <c r="G17" s="39" t="s">
        <v>136</v>
      </c>
      <c r="H17" s="39" t="s">
        <v>137</v>
      </c>
      <c r="I17" s="39" t="s">
        <v>124</v>
      </c>
      <c r="J17" s="36"/>
      <c r="K17" s="36"/>
      <c r="L17" s="40" t="str">
        <f aca="false">IF(AND(ISNUMBER(J17),ISNUMBER(K17)),J17*K17,"")</f>
        <v/>
      </c>
      <c r="M17" s="36"/>
      <c r="N17" s="40" t="str">
        <f aca="false">IF(AND(ISNUMBER(K17),ISNUMBER(L17),L17&lt;&gt;0),K17/L17,"")</f>
        <v/>
      </c>
      <c r="O17" s="39" t="s">
        <v>138</v>
      </c>
      <c r="P17" s="38" t="s">
        <v>82</v>
      </c>
    </row>
    <row r="18" customFormat="false" ht="64.5" hidden="false" customHeight="true" outlineLevel="0" collapsed="false">
      <c r="B18" s="34" t="n">
        <v>10</v>
      </c>
      <c r="C18" s="39"/>
      <c r="D18" s="39" t="s">
        <v>139</v>
      </c>
      <c r="E18" s="39" t="s">
        <v>140</v>
      </c>
      <c r="F18" s="39" t="s">
        <v>141</v>
      </c>
      <c r="G18" s="39" t="s">
        <v>142</v>
      </c>
      <c r="H18" s="39" t="s">
        <v>143</v>
      </c>
      <c r="I18" s="39" t="s">
        <v>144</v>
      </c>
      <c r="J18" s="36"/>
      <c r="K18" s="36"/>
      <c r="L18" s="40" t="str">
        <f aca="false">IF(AND(ISNUMBER(J18),ISNUMBER(K18)),J18*K18,"")</f>
        <v/>
      </c>
      <c r="M18" s="36"/>
      <c r="N18" s="40" t="str">
        <f aca="false">IF(AND(ISNUMBER(K18),ISNUMBER(L18),L18&lt;&gt;0),K18/L18,"")</f>
        <v/>
      </c>
      <c r="O18" s="39" t="s">
        <v>145</v>
      </c>
      <c r="P18" s="38" t="s">
        <v>82</v>
      </c>
    </row>
    <row r="19" customFormat="false" ht="27.75" hidden="false" customHeight="true" outlineLevel="0" collapsed="false">
      <c r="B19" s="33" t="s">
        <v>146</v>
      </c>
      <c r="C19" s="33"/>
      <c r="D19" s="33"/>
      <c r="E19" s="33"/>
      <c r="F19" s="33"/>
      <c r="G19" s="33"/>
      <c r="H19" s="33"/>
      <c r="I19" s="33"/>
      <c r="J19" s="33"/>
      <c r="K19" s="33"/>
      <c r="L19" s="33"/>
      <c r="M19" s="33"/>
      <c r="N19" s="33"/>
      <c r="O19" s="33"/>
    </row>
    <row r="20" customFormat="false" ht="64.5" hidden="false" customHeight="true" outlineLevel="0" collapsed="false">
      <c r="B20" s="34" t="n">
        <v>11</v>
      </c>
      <c r="C20" s="41"/>
      <c r="D20" s="41" t="s">
        <v>147</v>
      </c>
      <c r="E20" s="41" t="s">
        <v>148</v>
      </c>
      <c r="F20" s="41" t="s">
        <v>149</v>
      </c>
      <c r="G20" s="41" t="s">
        <v>150</v>
      </c>
      <c r="H20" s="41" t="s">
        <v>151</v>
      </c>
      <c r="I20" s="41" t="s">
        <v>152</v>
      </c>
      <c r="J20" s="36"/>
      <c r="K20" s="36"/>
      <c r="L20" s="42" t="str">
        <f aca="false">IF(AND(ISNUMBER(J20),ISNUMBER(K20)),J20*K20,"")</f>
        <v/>
      </c>
      <c r="M20" s="36"/>
      <c r="N20" s="42" t="str">
        <f aca="false">IF(AND(ISNUMBER(K20),ISNUMBER(L20),L20&lt;&gt;0),K20/L20,"")</f>
        <v/>
      </c>
      <c r="O20" s="41" t="s">
        <v>153</v>
      </c>
      <c r="P20" s="38" t="s">
        <v>82</v>
      </c>
    </row>
    <row r="21" customFormat="false" ht="64.5" hidden="false" customHeight="true" outlineLevel="0" collapsed="false">
      <c r="B21" s="34" t="n">
        <v>12</v>
      </c>
      <c r="C21" s="41"/>
      <c r="D21" s="41" t="s">
        <v>154</v>
      </c>
      <c r="E21" s="41" t="s">
        <v>155</v>
      </c>
      <c r="F21" s="41" t="s">
        <v>156</v>
      </c>
      <c r="G21" s="41" t="s">
        <v>157</v>
      </c>
      <c r="H21" s="41" t="s">
        <v>158</v>
      </c>
      <c r="I21" s="41" t="s">
        <v>124</v>
      </c>
      <c r="J21" s="36"/>
      <c r="K21" s="36"/>
      <c r="L21" s="42" t="str">
        <f aca="false">IF(AND(ISNUMBER(J21),ISNUMBER(K21)),J21*K21,"")</f>
        <v/>
      </c>
      <c r="M21" s="36"/>
      <c r="N21" s="42" t="str">
        <f aca="false">IF(AND(ISNUMBER(K21),ISNUMBER(L21),L21&lt;&gt;0),K21/L21,"")</f>
        <v/>
      </c>
      <c r="O21" s="41" t="s">
        <v>159</v>
      </c>
      <c r="P21" s="38" t="s">
        <v>82</v>
      </c>
    </row>
    <row r="22" customFormat="false" ht="64.5" hidden="false" customHeight="true" outlineLevel="0" collapsed="false">
      <c r="B22" s="34" t="n">
        <v>13</v>
      </c>
      <c r="C22" s="41"/>
      <c r="D22" s="41" t="s">
        <v>160</v>
      </c>
      <c r="E22" s="41" t="s">
        <v>161</v>
      </c>
      <c r="F22" s="41" t="s">
        <v>162</v>
      </c>
      <c r="G22" s="41" t="s">
        <v>163</v>
      </c>
      <c r="H22" s="41" t="s">
        <v>164</v>
      </c>
      <c r="I22" s="41" t="s">
        <v>165</v>
      </c>
      <c r="J22" s="36"/>
      <c r="K22" s="36"/>
      <c r="L22" s="42" t="str">
        <f aca="false">IF(AND(ISNUMBER(J22),ISNUMBER(K22)),J22*K22,"")</f>
        <v/>
      </c>
      <c r="M22" s="36"/>
      <c r="N22" s="42" t="str">
        <f aca="false">IF(AND(ISNUMBER(K22),ISNUMBER(L22),L22&lt;&gt;0),K22/L22,"")</f>
        <v/>
      </c>
      <c r="O22" s="41" t="s">
        <v>166</v>
      </c>
      <c r="P22" s="38" t="s">
        <v>82</v>
      </c>
    </row>
    <row r="23" customFormat="false" ht="64.5" hidden="false" customHeight="true" outlineLevel="0" collapsed="false">
      <c r="B23" s="34" t="n">
        <v>14</v>
      </c>
      <c r="C23" s="41"/>
      <c r="D23" s="41" t="s">
        <v>167</v>
      </c>
      <c r="E23" s="41" t="s">
        <v>168</v>
      </c>
      <c r="F23" s="41" t="s">
        <v>169</v>
      </c>
      <c r="G23" s="41" t="s">
        <v>170</v>
      </c>
      <c r="H23" s="41" t="s">
        <v>171</v>
      </c>
      <c r="I23" s="41" t="s">
        <v>152</v>
      </c>
      <c r="J23" s="36"/>
      <c r="K23" s="36"/>
      <c r="L23" s="42" t="str">
        <f aca="false">IF(AND(ISNUMBER(J23),ISNUMBER(K23)),J23*K23,"")</f>
        <v/>
      </c>
      <c r="M23" s="36"/>
      <c r="N23" s="42" t="str">
        <f aca="false">IF(AND(ISNUMBER(K23),ISNUMBER(L23),L23&lt;&gt;0),K23/L23,"")</f>
        <v/>
      </c>
      <c r="O23" s="41" t="s">
        <v>172</v>
      </c>
      <c r="P23" s="38" t="s">
        <v>82</v>
      </c>
    </row>
    <row r="24" customFormat="false" ht="64.5" hidden="false" customHeight="true" outlineLevel="0" collapsed="false">
      <c r="B24" s="34" t="n">
        <v>15</v>
      </c>
      <c r="C24" s="41"/>
      <c r="D24" s="41" t="s">
        <v>173</v>
      </c>
      <c r="E24" s="41" t="s">
        <v>174</v>
      </c>
      <c r="F24" s="41" t="s">
        <v>175</v>
      </c>
      <c r="G24" s="41" t="s">
        <v>176</v>
      </c>
      <c r="H24" s="41" t="s">
        <v>177</v>
      </c>
      <c r="I24" s="41" t="s">
        <v>178</v>
      </c>
      <c r="J24" s="36"/>
      <c r="K24" s="36"/>
      <c r="L24" s="42" t="str">
        <f aca="false">IF(AND(ISNUMBER(J24),ISNUMBER(K24)),J24*K24,"")</f>
        <v/>
      </c>
      <c r="M24" s="36"/>
      <c r="N24" s="42" t="str">
        <f aca="false">IF(AND(ISNUMBER(K24),ISNUMBER(L24),L24&lt;&gt;0),K24/L24,"")</f>
        <v/>
      </c>
      <c r="O24" s="41" t="s">
        <v>179</v>
      </c>
      <c r="P24" s="38" t="s">
        <v>82</v>
      </c>
    </row>
    <row r="25" customFormat="false" ht="27.75" hidden="false" customHeight="true" outlineLevel="0" collapsed="false">
      <c r="B25" s="33" t="s">
        <v>180</v>
      </c>
      <c r="C25" s="33"/>
      <c r="D25" s="33"/>
      <c r="E25" s="33"/>
      <c r="F25" s="33"/>
      <c r="G25" s="33"/>
      <c r="H25" s="33"/>
      <c r="I25" s="33"/>
      <c r="J25" s="33"/>
      <c r="K25" s="33"/>
      <c r="L25" s="33"/>
      <c r="M25" s="33"/>
      <c r="N25" s="33"/>
      <c r="O25" s="33"/>
    </row>
    <row r="26" customFormat="false" ht="64.5" hidden="false" customHeight="true" outlineLevel="0" collapsed="false">
      <c r="B26" s="34" t="n">
        <v>16</v>
      </c>
      <c r="C26" s="43"/>
      <c r="D26" s="43" t="s">
        <v>181</v>
      </c>
      <c r="E26" s="43" t="s">
        <v>182</v>
      </c>
      <c r="F26" s="43" t="s">
        <v>183</v>
      </c>
      <c r="G26" s="43" t="s">
        <v>184</v>
      </c>
      <c r="H26" s="43" t="s">
        <v>185</v>
      </c>
      <c r="I26" s="43" t="s">
        <v>186</v>
      </c>
      <c r="J26" s="36"/>
      <c r="K26" s="36"/>
      <c r="L26" s="44" t="str">
        <f aca="false">IF(AND(ISNUMBER(J26),ISNUMBER(K26)),J26*K26,"")</f>
        <v/>
      </c>
      <c r="M26" s="36"/>
      <c r="N26" s="44" t="str">
        <f aca="false">IF(AND(ISNUMBER(K26),ISNUMBER(L26),L26&lt;&gt;0),K26/L26,"")</f>
        <v/>
      </c>
      <c r="O26" s="43" t="s">
        <v>187</v>
      </c>
      <c r="P26" s="38" t="s">
        <v>82</v>
      </c>
    </row>
    <row r="27" customFormat="false" ht="64.5" hidden="false" customHeight="true" outlineLevel="0" collapsed="false">
      <c r="B27" s="34" t="n">
        <v>17</v>
      </c>
      <c r="C27" s="43"/>
      <c r="D27" s="43" t="s">
        <v>188</v>
      </c>
      <c r="E27" s="43" t="s">
        <v>189</v>
      </c>
      <c r="F27" s="43" t="s">
        <v>190</v>
      </c>
      <c r="G27" s="43" t="s">
        <v>191</v>
      </c>
      <c r="H27" s="43" t="s">
        <v>192</v>
      </c>
      <c r="I27" s="43" t="s">
        <v>193</v>
      </c>
      <c r="J27" s="36"/>
      <c r="K27" s="36"/>
      <c r="L27" s="44" t="str">
        <f aca="false">IF(AND(ISNUMBER(J27),ISNUMBER(K27)),J27*K27,"")</f>
        <v/>
      </c>
      <c r="M27" s="36"/>
      <c r="N27" s="44" t="str">
        <f aca="false">IF(AND(ISNUMBER(K27),ISNUMBER(L27),L27&lt;&gt;0),K27/L27,"")</f>
        <v/>
      </c>
      <c r="O27" s="43" t="s">
        <v>194</v>
      </c>
      <c r="P27" s="38" t="s">
        <v>82</v>
      </c>
    </row>
    <row r="28" customFormat="false" ht="64.5" hidden="false" customHeight="true" outlineLevel="0" collapsed="false">
      <c r="B28" s="34" t="n">
        <v>18</v>
      </c>
      <c r="C28" s="43"/>
      <c r="D28" s="43" t="s">
        <v>195</v>
      </c>
      <c r="E28" s="43" t="s">
        <v>196</v>
      </c>
      <c r="F28" s="43" t="s">
        <v>197</v>
      </c>
      <c r="G28" s="43" t="s">
        <v>198</v>
      </c>
      <c r="H28" s="43" t="s">
        <v>199</v>
      </c>
      <c r="I28" s="43" t="s">
        <v>193</v>
      </c>
      <c r="J28" s="36"/>
      <c r="K28" s="36"/>
      <c r="L28" s="44" t="str">
        <f aca="false">IF(AND(ISNUMBER(J28),ISNUMBER(K28)),J28*K28,"")</f>
        <v/>
      </c>
      <c r="M28" s="36"/>
      <c r="N28" s="44" t="str">
        <f aca="false">IF(AND(ISNUMBER(K28),ISNUMBER(L28),L28&lt;&gt;0),K28/L28,"")</f>
        <v/>
      </c>
      <c r="O28" s="43" t="s">
        <v>200</v>
      </c>
      <c r="P28" s="38" t="s">
        <v>82</v>
      </c>
    </row>
    <row r="29" customFormat="false" ht="64.5" hidden="false" customHeight="true" outlineLevel="0" collapsed="false">
      <c r="B29" s="34" t="n">
        <v>19</v>
      </c>
      <c r="C29" s="43"/>
      <c r="D29" s="43" t="s">
        <v>201</v>
      </c>
      <c r="E29" s="43" t="s">
        <v>202</v>
      </c>
      <c r="F29" s="43" t="s">
        <v>203</v>
      </c>
      <c r="G29" s="43" t="s">
        <v>204</v>
      </c>
      <c r="H29" s="43" t="s">
        <v>205</v>
      </c>
      <c r="I29" s="43" t="s">
        <v>206</v>
      </c>
      <c r="J29" s="36"/>
      <c r="K29" s="36"/>
      <c r="L29" s="44" t="str">
        <f aca="false">IF(AND(ISNUMBER(J29),ISNUMBER(K29)),J29*K29,"")</f>
        <v/>
      </c>
      <c r="M29" s="36"/>
      <c r="N29" s="44" t="str">
        <f aca="false">IF(AND(ISNUMBER(K29),ISNUMBER(L29),L29&lt;&gt;0),K29/L29,"")</f>
        <v/>
      </c>
      <c r="O29" s="43" t="s">
        <v>207</v>
      </c>
      <c r="P29" s="38" t="s">
        <v>82</v>
      </c>
    </row>
    <row r="30" customFormat="false" ht="64.5" hidden="false" customHeight="true" outlineLevel="0" collapsed="false">
      <c r="B30" s="34" t="n">
        <v>20</v>
      </c>
      <c r="C30" s="43"/>
      <c r="D30" s="43" t="s">
        <v>208</v>
      </c>
      <c r="E30" s="43" t="s">
        <v>209</v>
      </c>
      <c r="F30" s="43" t="s">
        <v>210</v>
      </c>
      <c r="G30" s="43" t="s">
        <v>211</v>
      </c>
      <c r="H30" s="43" t="s">
        <v>212</v>
      </c>
      <c r="I30" s="43" t="s">
        <v>213</v>
      </c>
      <c r="J30" s="36"/>
      <c r="K30" s="36"/>
      <c r="L30" s="44" t="str">
        <f aca="false">IF(AND(ISNUMBER(J30),ISNUMBER(K30)),J30*K30,"")</f>
        <v/>
      </c>
      <c r="M30" s="36"/>
      <c r="N30" s="44" t="str">
        <f aca="false">IF(AND(ISNUMBER(K30),ISNUMBER(L30),L30&lt;&gt;0),K30/L30,"")</f>
        <v/>
      </c>
      <c r="O30" s="43" t="s">
        <v>214</v>
      </c>
      <c r="P30" s="38" t="s">
        <v>82</v>
      </c>
    </row>
    <row r="31" customFormat="false" ht="27.75" hidden="false" customHeight="true" outlineLevel="0" collapsed="false">
      <c r="B31" s="33" t="s">
        <v>215</v>
      </c>
      <c r="C31" s="33"/>
      <c r="D31" s="33"/>
      <c r="E31" s="33"/>
      <c r="F31" s="33"/>
      <c r="G31" s="33"/>
      <c r="H31" s="33"/>
      <c r="I31" s="33"/>
      <c r="J31" s="33"/>
      <c r="K31" s="33"/>
      <c r="L31" s="33"/>
      <c r="M31" s="33"/>
      <c r="N31" s="33"/>
      <c r="O31" s="33"/>
    </row>
    <row r="32" customFormat="false" ht="64.5" hidden="false" customHeight="true" outlineLevel="0" collapsed="false">
      <c r="B32" s="34" t="n">
        <v>21</v>
      </c>
      <c r="C32" s="45"/>
      <c r="D32" s="45" t="s">
        <v>216</v>
      </c>
      <c r="E32" s="45" t="s">
        <v>217</v>
      </c>
      <c r="F32" s="45" t="s">
        <v>218</v>
      </c>
      <c r="G32" s="45" t="s">
        <v>219</v>
      </c>
      <c r="H32" s="45" t="s">
        <v>220</v>
      </c>
      <c r="I32" s="45" t="s">
        <v>221</v>
      </c>
      <c r="J32" s="36"/>
      <c r="K32" s="36"/>
      <c r="L32" s="46" t="str">
        <f aca="false">IF(AND(ISNUMBER(J32),ISNUMBER(K32)),J32*K32,"")</f>
        <v/>
      </c>
      <c r="M32" s="36"/>
      <c r="N32" s="46" t="str">
        <f aca="false">IF(AND(ISNUMBER(K32),ISNUMBER(L32),L32&lt;&gt;0),K32/L32,"")</f>
        <v/>
      </c>
      <c r="O32" s="45" t="s">
        <v>222</v>
      </c>
      <c r="P32" s="38" t="s">
        <v>82</v>
      </c>
    </row>
    <row r="33" customFormat="false" ht="64.5" hidden="false" customHeight="true" outlineLevel="0" collapsed="false">
      <c r="B33" s="34" t="n">
        <v>22</v>
      </c>
      <c r="C33" s="45"/>
      <c r="D33" s="45" t="s">
        <v>223</v>
      </c>
      <c r="E33" s="45" t="s">
        <v>224</v>
      </c>
      <c r="F33" s="45" t="s">
        <v>225</v>
      </c>
      <c r="G33" s="45" t="s">
        <v>226</v>
      </c>
      <c r="H33" s="45" t="s">
        <v>227</v>
      </c>
      <c r="I33" s="45" t="s">
        <v>228</v>
      </c>
      <c r="J33" s="36"/>
      <c r="K33" s="36"/>
      <c r="L33" s="46" t="str">
        <f aca="false">IF(AND(ISNUMBER(J33),ISNUMBER(K33)),J33*K33,"")</f>
        <v/>
      </c>
      <c r="M33" s="36"/>
      <c r="N33" s="46" t="str">
        <f aca="false">IF(AND(ISNUMBER(K33),ISNUMBER(L33),L33&lt;&gt;0),K33/L33,"")</f>
        <v/>
      </c>
      <c r="O33" s="45" t="s">
        <v>229</v>
      </c>
      <c r="P33" s="38" t="s">
        <v>82</v>
      </c>
    </row>
    <row r="34" customFormat="false" ht="64.5" hidden="false" customHeight="true" outlineLevel="0" collapsed="false">
      <c r="B34" s="34" t="n">
        <v>23</v>
      </c>
      <c r="C34" s="45"/>
      <c r="D34" s="45" t="s">
        <v>230</v>
      </c>
      <c r="E34" s="45" t="s">
        <v>231</v>
      </c>
      <c r="F34" s="45" t="s">
        <v>232</v>
      </c>
      <c r="G34" s="45" t="s">
        <v>233</v>
      </c>
      <c r="H34" s="45" t="s">
        <v>234</v>
      </c>
      <c r="I34" s="45" t="s">
        <v>235</v>
      </c>
      <c r="J34" s="36"/>
      <c r="K34" s="36"/>
      <c r="L34" s="46" t="str">
        <f aca="false">IF(AND(ISNUMBER(J34),ISNUMBER(K34)),J34*K34,"")</f>
        <v/>
      </c>
      <c r="M34" s="36"/>
      <c r="N34" s="46" t="str">
        <f aca="false">IF(AND(ISNUMBER(K34),ISNUMBER(L34),L34&lt;&gt;0),K34/L34,"")</f>
        <v/>
      </c>
      <c r="O34" s="45" t="s">
        <v>236</v>
      </c>
      <c r="P34" s="38" t="s">
        <v>82</v>
      </c>
    </row>
    <row r="35" customFormat="false" ht="64.5" hidden="false" customHeight="true" outlineLevel="0" collapsed="false">
      <c r="B35" s="34" t="n">
        <v>24</v>
      </c>
      <c r="C35" s="45"/>
      <c r="D35" s="45" t="s">
        <v>237</v>
      </c>
      <c r="E35" s="45" t="s">
        <v>238</v>
      </c>
      <c r="F35" s="45" t="s">
        <v>239</v>
      </c>
      <c r="G35" s="45" t="s">
        <v>240</v>
      </c>
      <c r="H35" s="45" t="s">
        <v>241</v>
      </c>
      <c r="I35" s="45" t="s">
        <v>144</v>
      </c>
      <c r="J35" s="36"/>
      <c r="K35" s="36"/>
      <c r="L35" s="46" t="str">
        <f aca="false">IF(AND(ISNUMBER(J35),ISNUMBER(K35)),J35*K35,"")</f>
        <v/>
      </c>
      <c r="M35" s="36"/>
      <c r="N35" s="46" t="str">
        <f aca="false">IF(AND(ISNUMBER(K35),ISNUMBER(L35),L35&lt;&gt;0),K35/L35,"")</f>
        <v/>
      </c>
      <c r="O35" s="45" t="s">
        <v>242</v>
      </c>
      <c r="P35" s="38" t="s">
        <v>82</v>
      </c>
    </row>
    <row r="36" customFormat="false" ht="64.5" hidden="false" customHeight="true" outlineLevel="0" collapsed="false">
      <c r="B36" s="34" t="n">
        <v>25</v>
      </c>
      <c r="C36" s="45"/>
      <c r="D36" s="45" t="s">
        <v>243</v>
      </c>
      <c r="E36" s="45" t="s">
        <v>244</v>
      </c>
      <c r="F36" s="45" t="s">
        <v>245</v>
      </c>
      <c r="G36" s="45" t="s">
        <v>246</v>
      </c>
      <c r="H36" s="45" t="s">
        <v>247</v>
      </c>
      <c r="I36" s="45" t="s">
        <v>95</v>
      </c>
      <c r="J36" s="36"/>
      <c r="K36" s="36"/>
      <c r="L36" s="46" t="str">
        <f aca="false">IF(AND(ISNUMBER(J36),ISNUMBER(K36)),J36*K36,"")</f>
        <v/>
      </c>
      <c r="M36" s="36"/>
      <c r="N36" s="46" t="str">
        <f aca="false">IF(AND(ISNUMBER(K36),ISNUMBER(L36),L36&lt;&gt;0),K36/L36,"")</f>
        <v/>
      </c>
      <c r="O36" s="45" t="s">
        <v>248</v>
      </c>
      <c r="P36" s="38" t="s">
        <v>82</v>
      </c>
    </row>
  </sheetData>
  <mergeCells count="8">
    <mergeCell ref="B2:O2"/>
    <mergeCell ref="B3:O3"/>
    <mergeCell ref="B4:O4"/>
    <mergeCell ref="B7:O7"/>
    <mergeCell ref="B13:O13"/>
    <mergeCell ref="B19:O19"/>
    <mergeCell ref="B25:O25"/>
    <mergeCell ref="B31:O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30"/>
    <col collapsed="false" customWidth="true" hidden="false" outlineLevel="0" max="12" min="4" style="0" width="14"/>
  </cols>
  <sheetData>
    <row r="2" customFormat="false" ht="25.5" hidden="false" customHeight="true" outlineLevel="0" collapsed="false">
      <c r="B2" s="13" t="s">
        <v>249</v>
      </c>
      <c r="C2" s="13"/>
      <c r="D2" s="13"/>
      <c r="E2" s="13"/>
      <c r="F2" s="13"/>
      <c r="G2" s="13"/>
      <c r="H2" s="13"/>
      <c r="I2" s="13"/>
      <c r="J2" s="13"/>
      <c r="K2" s="13"/>
      <c r="L2" s="13"/>
    </row>
    <row r="5" customFormat="false" ht="19.5" hidden="false" customHeight="true" outlineLevel="0" collapsed="false">
      <c r="B5" s="47" t="s">
        <v>250</v>
      </c>
      <c r="C5" s="48"/>
      <c r="E5" s="49" t="s">
        <v>251</v>
      </c>
      <c r="F5" s="49"/>
      <c r="G5" s="49"/>
      <c r="H5" s="49"/>
      <c r="I5" s="49"/>
      <c r="J5" s="49"/>
      <c r="K5" s="49"/>
      <c r="L5" s="49"/>
    </row>
    <row r="6" customFormat="false" ht="19.5" hidden="false" customHeight="true" outlineLevel="0" collapsed="false">
      <c r="B6" s="47" t="s">
        <v>252</v>
      </c>
      <c r="C6" s="48"/>
      <c r="E6" s="49"/>
      <c r="F6" s="49"/>
      <c r="G6" s="49"/>
      <c r="H6" s="49"/>
      <c r="I6" s="49"/>
      <c r="J6" s="49"/>
      <c r="K6" s="49"/>
      <c r="L6" s="49"/>
    </row>
    <row r="7" customFormat="false" ht="19.5" hidden="false" customHeight="true" outlineLevel="0" collapsed="false">
      <c r="B7" s="47" t="s">
        <v>253</v>
      </c>
      <c r="C7" s="48"/>
      <c r="E7" s="49"/>
      <c r="F7" s="49"/>
      <c r="G7" s="49"/>
      <c r="H7" s="49"/>
      <c r="I7" s="49"/>
      <c r="J7" s="49"/>
      <c r="K7" s="49"/>
      <c r="L7" s="49"/>
    </row>
    <row r="8" customFormat="false" ht="19.5" hidden="false" customHeight="true" outlineLevel="0" collapsed="false">
      <c r="B8" s="47" t="s">
        <v>254</v>
      </c>
      <c r="C8" s="48"/>
    </row>
    <row r="9" customFormat="false" ht="19.5" hidden="false" customHeight="true" outlineLevel="0" collapsed="false">
      <c r="B9" s="47" t="s">
        <v>255</v>
      </c>
      <c r="C9" s="48"/>
    </row>
    <row r="10" customFormat="false" ht="19.5" hidden="false" customHeight="true" outlineLevel="0" collapsed="false">
      <c r="B10" s="47" t="s">
        <v>256</v>
      </c>
      <c r="C10" s="48"/>
    </row>
    <row r="11" customFormat="false" ht="19.5" hidden="false" customHeight="true" outlineLevel="0" collapsed="false">
      <c r="B11" s="47" t="s">
        <v>257</v>
      </c>
      <c r="C11" s="48"/>
    </row>
    <row r="13" customFormat="false" ht="21.75" hidden="false" customHeight="true" outlineLevel="0" collapsed="false">
      <c r="B13" s="50" t="s">
        <v>258</v>
      </c>
      <c r="C13" s="50"/>
      <c r="D13" s="50"/>
      <c r="E13" s="50"/>
      <c r="F13" s="50"/>
      <c r="G13" s="50"/>
      <c r="H13" s="50"/>
      <c r="I13" s="50"/>
      <c r="J13" s="50"/>
      <c r="K13" s="50"/>
      <c r="L13" s="50"/>
    </row>
    <row r="14" customFormat="false" ht="39.75" hidden="false" customHeight="true" outlineLevel="0" collapsed="false">
      <c r="B14" s="51" t="s">
        <v>259</v>
      </c>
      <c r="C14" s="51" t="s">
        <v>260</v>
      </c>
      <c r="D14" s="51" t="s">
        <v>261</v>
      </c>
      <c r="E14" s="51" t="s">
        <v>262</v>
      </c>
      <c r="F14" s="51" t="s">
        <v>263</v>
      </c>
      <c r="G14" s="51" t="s">
        <v>264</v>
      </c>
      <c r="H14" s="51" t="s">
        <v>265</v>
      </c>
      <c r="I14" s="51" t="s">
        <v>266</v>
      </c>
      <c r="J14" s="51" t="s">
        <v>267</v>
      </c>
    </row>
    <row r="15" customFormat="false" ht="21.75" hidden="false" customHeight="true" outlineLevel="0" collapsed="false">
      <c r="B15" s="52" t="s">
        <v>268</v>
      </c>
      <c r="C15" s="53" t="s">
        <v>269</v>
      </c>
      <c r="D15" s="54" t="n">
        <v>0.4</v>
      </c>
      <c r="E15" s="54" t="n">
        <v>0.25</v>
      </c>
      <c r="F15" s="54" t="n">
        <v>0.15</v>
      </c>
      <c r="G15" s="55"/>
      <c r="H15" s="56" t="str">
        <f aca="false">IF(ISNUMBER(G15),D15*G15,"")</f>
        <v/>
      </c>
      <c r="I15" s="56" t="str">
        <f aca="false">IF(ISNUMBER(G15),E15*G15,"")</f>
        <v/>
      </c>
      <c r="J15" s="56" t="str">
        <f aca="false">IF(ISNUMBER(G15),F15*G15,"")</f>
        <v/>
      </c>
    </row>
    <row r="16" customFormat="false" ht="21.75" hidden="false" customHeight="true" outlineLevel="0" collapsed="false">
      <c r="B16" s="57" t="s">
        <v>270</v>
      </c>
      <c r="C16" s="58" t="s">
        <v>271</v>
      </c>
      <c r="D16" s="59" t="n">
        <v>0.25</v>
      </c>
      <c r="E16" s="59" t="n">
        <v>0.25</v>
      </c>
      <c r="F16" s="59" t="n">
        <v>0.2</v>
      </c>
      <c r="G16" s="55"/>
      <c r="H16" s="60" t="str">
        <f aca="false">IF(ISNUMBER(G16),D16*G16,"")</f>
        <v/>
      </c>
      <c r="I16" s="60" t="str">
        <f aca="false">IF(ISNUMBER(G16),E16*G16,"")</f>
        <v/>
      </c>
      <c r="J16" s="60" t="str">
        <f aca="false">IF(ISNUMBER(G16),F16*G16,"")</f>
        <v/>
      </c>
    </row>
    <row r="17" customFormat="false" ht="21.75" hidden="false" customHeight="true" outlineLevel="0" collapsed="false">
      <c r="B17" s="61" t="s">
        <v>272</v>
      </c>
      <c r="C17" s="62" t="s">
        <v>273</v>
      </c>
      <c r="D17" s="63" t="n">
        <v>0.05</v>
      </c>
      <c r="E17" s="63" t="n">
        <v>0.05</v>
      </c>
      <c r="F17" s="63" t="n">
        <v>0.1</v>
      </c>
      <c r="G17" s="55"/>
      <c r="H17" s="64" t="str">
        <f aca="false">IF(ISNUMBER(G17),D17*G17,"")</f>
        <v/>
      </c>
      <c r="I17" s="64" t="str">
        <f aca="false">IF(ISNUMBER(G17),E17*G17,"")</f>
        <v/>
      </c>
      <c r="J17" s="64" t="str">
        <f aca="false">IF(ISNUMBER(G17),F17*G17,"")</f>
        <v/>
      </c>
    </row>
    <row r="18" customFormat="false" ht="21.75" hidden="false" customHeight="true" outlineLevel="0" collapsed="false">
      <c r="B18" s="65" t="s">
        <v>274</v>
      </c>
      <c r="C18" s="66" t="s">
        <v>275</v>
      </c>
      <c r="D18" s="67" t="n">
        <v>0.15</v>
      </c>
      <c r="E18" s="67" t="n">
        <v>0.2</v>
      </c>
      <c r="F18" s="67" t="n">
        <v>0.25</v>
      </c>
      <c r="G18" s="55"/>
      <c r="H18" s="68" t="str">
        <f aca="false">IF(ISNUMBER(G18),D18*G18,"")</f>
        <v/>
      </c>
      <c r="I18" s="68" t="str">
        <f aca="false">IF(ISNUMBER(G18),E18*G18,"")</f>
        <v/>
      </c>
      <c r="J18" s="68" t="str">
        <f aca="false">IF(ISNUMBER(G18),F18*G18,"")</f>
        <v/>
      </c>
    </row>
    <row r="19" customFormat="false" ht="21.75" hidden="false" customHeight="true" outlineLevel="0" collapsed="false">
      <c r="B19" s="69" t="s">
        <v>276</v>
      </c>
      <c r="C19" s="70" t="s">
        <v>277</v>
      </c>
      <c r="D19" s="71" t="n">
        <v>0.15</v>
      </c>
      <c r="E19" s="71" t="n">
        <v>0.25</v>
      </c>
      <c r="F19" s="71" t="n">
        <v>0.3</v>
      </c>
      <c r="G19" s="55"/>
      <c r="H19" s="72" t="str">
        <f aca="false">IF(ISNUMBER(G19),D19*G19,"")</f>
        <v/>
      </c>
      <c r="I19" s="72" t="str">
        <f aca="false">IF(ISNUMBER(G19),E19*G19,"")</f>
        <v/>
      </c>
      <c r="J19" s="72" t="str">
        <f aca="false">IF(ISNUMBER(G19),F19*G19,"")</f>
        <v/>
      </c>
    </row>
    <row r="21" customFormat="false" ht="21.75" hidden="false" customHeight="true" outlineLevel="0" collapsed="false">
      <c r="B21" s="73" t="s">
        <v>278</v>
      </c>
      <c r="C21" s="73"/>
      <c r="D21" s="73"/>
      <c r="E21" s="73"/>
    </row>
    <row r="22" customFormat="false" ht="19.5" hidden="false" customHeight="true" outlineLevel="0" collapsed="false">
      <c r="B22" s="47" t="s">
        <v>279</v>
      </c>
      <c r="C22" s="74" t="n">
        <f aca="false">SUM(H15:H19)</f>
        <v>0</v>
      </c>
    </row>
    <row r="23" customFormat="false" ht="19.5" hidden="false" customHeight="true" outlineLevel="0" collapsed="false">
      <c r="B23" s="47" t="s">
        <v>280</v>
      </c>
      <c r="C23" s="74" t="n">
        <f aca="false">SUM(I15:I19)</f>
        <v>0</v>
      </c>
    </row>
    <row r="24" customFormat="false" ht="19.5" hidden="false" customHeight="true" outlineLevel="0" collapsed="false">
      <c r="B24" s="47" t="s">
        <v>281</v>
      </c>
      <c r="C24" s="74" t="n">
        <f aca="false">SUM(J15:J19)</f>
        <v>0</v>
      </c>
    </row>
    <row r="26" customFormat="false" ht="54.75" hidden="false" customHeight="true" outlineLevel="0" collapsed="false">
      <c r="B26" s="75" t="s">
        <v>282</v>
      </c>
      <c r="C26" s="75"/>
      <c r="D26" s="75"/>
      <c r="E26" s="75"/>
      <c r="F26" s="75"/>
      <c r="G26" s="75"/>
      <c r="H26" s="75"/>
      <c r="I26" s="75"/>
      <c r="J26" s="75"/>
      <c r="K26" s="75"/>
      <c r="L26" s="75"/>
    </row>
  </sheetData>
  <mergeCells count="5">
    <mergeCell ref="B2:L2"/>
    <mergeCell ref="E5:L7"/>
    <mergeCell ref="B13:L13"/>
    <mergeCell ref="B21:E21"/>
    <mergeCell ref="B26:L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8" min="5" style="0" width="16"/>
    <col collapsed="false" customWidth="true" hidden="false" outlineLevel="0" max="9" min="9" style="0" width="20"/>
    <col collapsed="false" customWidth="true" hidden="false" outlineLevel="0" max="10" min="10" style="0" width="18"/>
    <col collapsed="false" customWidth="true" hidden="false" outlineLevel="0" max="11" min="11" style="0" width="14"/>
    <col collapsed="false" customWidth="true" hidden="false" outlineLevel="0" max="12" min="12" style="0" width="32"/>
  </cols>
  <sheetData>
    <row r="2" customFormat="false" ht="25.5" hidden="false" customHeight="true" outlineLevel="0" collapsed="false">
      <c r="B2" s="13" t="s">
        <v>283</v>
      </c>
      <c r="C2" s="13"/>
      <c r="D2" s="13"/>
      <c r="E2" s="13"/>
      <c r="F2" s="13"/>
      <c r="G2" s="13"/>
      <c r="H2" s="13"/>
      <c r="I2" s="13"/>
      <c r="J2" s="13"/>
      <c r="K2" s="13"/>
      <c r="L2" s="13"/>
    </row>
    <row r="4" customFormat="false" ht="49.5" hidden="false" customHeight="true" outlineLevel="0" collapsed="false">
      <c r="B4" s="75" t="s">
        <v>284</v>
      </c>
      <c r="C4" s="75"/>
      <c r="D4" s="75"/>
      <c r="E4" s="75"/>
      <c r="F4" s="75"/>
      <c r="G4" s="75"/>
      <c r="H4" s="75"/>
      <c r="I4" s="75"/>
      <c r="J4" s="75"/>
      <c r="K4" s="75"/>
      <c r="L4" s="75"/>
    </row>
    <row r="5" customFormat="false" ht="15" hidden="false" customHeight="false" outlineLevel="0" collapsed="false">
      <c r="B5" s="75"/>
      <c r="C5" s="75"/>
      <c r="D5" s="75"/>
      <c r="E5" s="75"/>
      <c r="F5" s="75"/>
      <c r="G5" s="75"/>
      <c r="H5" s="75"/>
      <c r="I5" s="75"/>
      <c r="J5" s="75"/>
      <c r="K5" s="75"/>
      <c r="L5" s="75"/>
    </row>
    <row r="7" customFormat="false" ht="45" hidden="false" customHeight="true" outlineLevel="0" collapsed="false">
      <c r="B7" s="32" t="s">
        <v>285</v>
      </c>
      <c r="C7" s="32" t="s">
        <v>286</v>
      </c>
      <c r="D7" s="32" t="s">
        <v>287</v>
      </c>
      <c r="E7" s="32" t="s">
        <v>288</v>
      </c>
      <c r="F7" s="32" t="s">
        <v>289</v>
      </c>
      <c r="G7" s="32" t="s">
        <v>290</v>
      </c>
      <c r="H7" s="32" t="s">
        <v>291</v>
      </c>
      <c r="I7" s="32" t="s">
        <v>292</v>
      </c>
      <c r="J7" s="32" t="s">
        <v>293</v>
      </c>
      <c r="K7" s="32" t="s">
        <v>294</v>
      </c>
      <c r="L7" s="32" t="s">
        <v>295</v>
      </c>
    </row>
    <row r="8" customFormat="false" ht="21.75" hidden="false" customHeight="true" outlineLevel="0" collapsed="false">
      <c r="B8" s="76"/>
      <c r="C8" s="76"/>
      <c r="D8" s="76"/>
      <c r="E8" s="76"/>
      <c r="F8" s="76"/>
      <c r="G8" s="76"/>
      <c r="H8" s="76"/>
      <c r="I8" s="76"/>
      <c r="J8" s="76"/>
      <c r="K8" s="76"/>
      <c r="L8" s="76"/>
    </row>
    <row r="9" customFormat="false" ht="21.75" hidden="false" customHeight="true" outlineLevel="0" collapsed="false">
      <c r="B9" s="77"/>
      <c r="C9" s="77"/>
      <c r="D9" s="77"/>
      <c r="E9" s="77"/>
      <c r="F9" s="77"/>
      <c r="G9" s="77"/>
      <c r="H9" s="77"/>
      <c r="I9" s="77"/>
      <c r="J9" s="77"/>
      <c r="K9" s="77"/>
      <c r="L9" s="77"/>
    </row>
    <row r="10" customFormat="false" ht="21.75" hidden="false" customHeight="true" outlineLevel="0" collapsed="false">
      <c r="B10" s="76"/>
      <c r="C10" s="76"/>
      <c r="D10" s="76"/>
      <c r="E10" s="76"/>
      <c r="F10" s="76"/>
      <c r="G10" s="76"/>
      <c r="H10" s="76"/>
      <c r="I10" s="76"/>
      <c r="J10" s="76"/>
      <c r="K10" s="76"/>
      <c r="L10" s="76"/>
    </row>
    <row r="11" customFormat="false" ht="21.75" hidden="false" customHeight="true" outlineLevel="0" collapsed="false">
      <c r="B11" s="77"/>
      <c r="C11" s="77"/>
      <c r="D11" s="77"/>
      <c r="E11" s="77"/>
      <c r="F11" s="77"/>
      <c r="G11" s="77"/>
      <c r="H11" s="77"/>
      <c r="I11" s="77"/>
      <c r="J11" s="77"/>
      <c r="K11" s="77"/>
      <c r="L11" s="77"/>
    </row>
    <row r="12" customFormat="false" ht="21.75" hidden="false" customHeight="true" outlineLevel="0" collapsed="false">
      <c r="B12" s="76"/>
      <c r="C12" s="76"/>
      <c r="D12" s="76"/>
      <c r="E12" s="76"/>
      <c r="F12" s="76"/>
      <c r="G12" s="76"/>
      <c r="H12" s="76"/>
      <c r="I12" s="76"/>
      <c r="J12" s="76"/>
      <c r="K12" s="76"/>
      <c r="L12" s="76"/>
    </row>
    <row r="13" customFormat="false" ht="21.75" hidden="false" customHeight="true" outlineLevel="0" collapsed="false">
      <c r="B13" s="77"/>
      <c r="C13" s="77"/>
      <c r="D13" s="77"/>
      <c r="E13" s="77"/>
      <c r="F13" s="77"/>
      <c r="G13" s="77"/>
      <c r="H13" s="77"/>
      <c r="I13" s="77"/>
      <c r="J13" s="77"/>
      <c r="K13" s="77"/>
      <c r="L13" s="77"/>
    </row>
    <row r="14" customFormat="false" ht="21.75" hidden="false" customHeight="true" outlineLevel="0" collapsed="false">
      <c r="B14" s="76"/>
      <c r="C14" s="76"/>
      <c r="D14" s="76"/>
      <c r="E14" s="76"/>
      <c r="F14" s="76"/>
      <c r="G14" s="76"/>
      <c r="H14" s="76"/>
      <c r="I14" s="76"/>
      <c r="J14" s="76"/>
      <c r="K14" s="76"/>
      <c r="L14" s="76"/>
    </row>
    <row r="15" customFormat="false" ht="21.75" hidden="false" customHeight="true" outlineLevel="0" collapsed="false">
      <c r="B15" s="77"/>
      <c r="C15" s="77"/>
      <c r="D15" s="77"/>
      <c r="E15" s="77"/>
      <c r="F15" s="77"/>
      <c r="G15" s="77"/>
      <c r="H15" s="77"/>
      <c r="I15" s="77"/>
      <c r="J15" s="77"/>
      <c r="K15" s="77"/>
      <c r="L15" s="77"/>
    </row>
    <row r="16" customFormat="false" ht="21.75" hidden="false" customHeight="true" outlineLevel="0" collapsed="false">
      <c r="B16" s="76"/>
      <c r="C16" s="76"/>
      <c r="D16" s="76"/>
      <c r="E16" s="76"/>
      <c r="F16" s="76"/>
      <c r="G16" s="76"/>
      <c r="H16" s="76"/>
      <c r="I16" s="76"/>
      <c r="J16" s="76"/>
      <c r="K16" s="76"/>
      <c r="L16" s="76"/>
    </row>
    <row r="17" customFormat="false" ht="21.75" hidden="false" customHeight="true" outlineLevel="0" collapsed="false">
      <c r="B17" s="77"/>
      <c r="C17" s="77"/>
      <c r="D17" s="77"/>
      <c r="E17" s="77"/>
      <c r="F17" s="77"/>
      <c r="G17" s="77"/>
      <c r="H17" s="77"/>
      <c r="I17" s="77"/>
      <c r="J17" s="77"/>
      <c r="K17" s="77"/>
      <c r="L17" s="77"/>
    </row>
    <row r="18" customFormat="false" ht="21.75" hidden="false" customHeight="true" outlineLevel="0" collapsed="false">
      <c r="B18" s="76"/>
      <c r="C18" s="76"/>
      <c r="D18" s="76"/>
      <c r="E18" s="76"/>
      <c r="F18" s="76"/>
      <c r="G18" s="76"/>
      <c r="H18" s="76"/>
      <c r="I18" s="76"/>
      <c r="J18" s="76"/>
      <c r="K18" s="76"/>
      <c r="L18" s="76"/>
    </row>
    <row r="19" customFormat="false" ht="21.75" hidden="false" customHeight="true" outlineLevel="0" collapsed="false">
      <c r="B19" s="77"/>
      <c r="C19" s="77"/>
      <c r="D19" s="77"/>
      <c r="E19" s="77"/>
      <c r="F19" s="77"/>
      <c r="G19" s="77"/>
      <c r="H19" s="77"/>
      <c r="I19" s="77"/>
      <c r="J19" s="77"/>
      <c r="K19" s="77"/>
      <c r="L19" s="77"/>
    </row>
    <row r="20" customFormat="false" ht="21.75" hidden="false" customHeight="true" outlineLevel="0" collapsed="false">
      <c r="B20" s="76"/>
      <c r="C20" s="76"/>
      <c r="D20" s="76"/>
      <c r="E20" s="76"/>
      <c r="F20" s="76"/>
      <c r="G20" s="76"/>
      <c r="H20" s="76"/>
      <c r="I20" s="76"/>
      <c r="J20" s="76"/>
      <c r="K20" s="76"/>
      <c r="L20" s="76"/>
    </row>
    <row r="21" customFormat="false" ht="21.75" hidden="false" customHeight="true" outlineLevel="0" collapsed="false">
      <c r="B21" s="77"/>
      <c r="C21" s="77"/>
      <c r="D21" s="77"/>
      <c r="E21" s="77"/>
      <c r="F21" s="77"/>
      <c r="G21" s="77"/>
      <c r="H21" s="77"/>
      <c r="I21" s="77"/>
      <c r="J21" s="77"/>
      <c r="K21" s="77"/>
      <c r="L21" s="77"/>
    </row>
    <row r="22" customFormat="false" ht="21.75" hidden="false" customHeight="true" outlineLevel="0" collapsed="false">
      <c r="B22" s="76"/>
      <c r="C22" s="76"/>
      <c r="D22" s="76"/>
      <c r="E22" s="76"/>
      <c r="F22" s="76"/>
      <c r="G22" s="76"/>
      <c r="H22" s="76"/>
      <c r="I22" s="76"/>
      <c r="J22" s="76"/>
      <c r="K22" s="76"/>
      <c r="L22" s="76"/>
    </row>
    <row r="23" customFormat="false" ht="21.75" hidden="false" customHeight="true" outlineLevel="0" collapsed="false">
      <c r="B23" s="77"/>
      <c r="C23" s="77"/>
      <c r="D23" s="77"/>
      <c r="E23" s="77"/>
      <c r="F23" s="77"/>
      <c r="G23" s="77"/>
      <c r="H23" s="77"/>
      <c r="I23" s="77"/>
      <c r="J23" s="77"/>
      <c r="K23" s="77"/>
      <c r="L23" s="77"/>
    </row>
    <row r="24" customFormat="false" ht="21.75" hidden="false" customHeight="true" outlineLevel="0" collapsed="false">
      <c r="B24" s="76"/>
      <c r="C24" s="76"/>
      <c r="D24" s="76"/>
      <c r="E24" s="76"/>
      <c r="F24" s="76"/>
      <c r="G24" s="76"/>
      <c r="H24" s="76"/>
      <c r="I24" s="76"/>
      <c r="J24" s="76"/>
      <c r="K24" s="76"/>
      <c r="L24" s="76"/>
    </row>
    <row r="25" customFormat="false" ht="21.75" hidden="false" customHeight="true" outlineLevel="0" collapsed="false">
      <c r="B25" s="77"/>
      <c r="C25" s="77"/>
      <c r="D25" s="77"/>
      <c r="E25" s="77"/>
      <c r="F25" s="77"/>
      <c r="G25" s="77"/>
      <c r="H25" s="77"/>
      <c r="I25" s="77"/>
      <c r="J25" s="77"/>
      <c r="K25" s="77"/>
      <c r="L25" s="77"/>
    </row>
    <row r="26" customFormat="false" ht="21.75" hidden="false" customHeight="true" outlineLevel="0" collapsed="false">
      <c r="B26" s="76"/>
      <c r="C26" s="76"/>
      <c r="D26" s="76"/>
      <c r="E26" s="76"/>
      <c r="F26" s="76"/>
      <c r="G26" s="76"/>
      <c r="H26" s="76"/>
      <c r="I26" s="76"/>
      <c r="J26" s="76"/>
      <c r="K26" s="76"/>
      <c r="L26" s="76"/>
    </row>
    <row r="27" customFormat="false" ht="21.75" hidden="false" customHeight="true" outlineLevel="0" collapsed="false">
      <c r="B27" s="77"/>
      <c r="C27" s="77"/>
      <c r="D27" s="77"/>
      <c r="E27" s="77"/>
      <c r="F27" s="77"/>
      <c r="G27" s="77"/>
      <c r="H27" s="77"/>
      <c r="I27" s="77"/>
      <c r="J27" s="77"/>
      <c r="K27" s="77"/>
      <c r="L27" s="77"/>
    </row>
    <row r="28" customFormat="false" ht="21.75" hidden="false" customHeight="true" outlineLevel="0" collapsed="false">
      <c r="B28" s="76"/>
      <c r="C28" s="76"/>
      <c r="D28" s="76"/>
      <c r="E28" s="76"/>
      <c r="F28" s="76"/>
      <c r="G28" s="76"/>
      <c r="H28" s="76"/>
      <c r="I28" s="76"/>
      <c r="J28" s="76"/>
      <c r="K28" s="76"/>
      <c r="L28" s="76"/>
    </row>
    <row r="29" customFormat="false" ht="21.75" hidden="false" customHeight="true" outlineLevel="0" collapsed="false">
      <c r="B29" s="77"/>
      <c r="C29" s="77"/>
      <c r="D29" s="77"/>
      <c r="E29" s="77"/>
      <c r="F29" s="77"/>
      <c r="G29" s="77"/>
      <c r="H29" s="77"/>
      <c r="I29" s="77"/>
      <c r="J29" s="77"/>
      <c r="K29" s="77"/>
      <c r="L29" s="77"/>
    </row>
    <row r="32" customFormat="false" ht="15" hidden="false" customHeight="false" outlineLevel="0" collapsed="false">
      <c r="B32" s="78" t="s">
        <v>296</v>
      </c>
      <c r="C32" s="78"/>
      <c r="D32" s="78"/>
      <c r="E32" s="78"/>
      <c r="F32" s="78"/>
      <c r="G32" s="78"/>
      <c r="H32" s="78"/>
      <c r="I32" s="78"/>
      <c r="J32" s="78"/>
      <c r="K32" s="78"/>
      <c r="L32" s="78"/>
    </row>
    <row r="33" customFormat="false" ht="19.4" hidden="false" customHeight="false" outlineLevel="0" collapsed="false">
      <c r="B33" s="79" t="s">
        <v>297</v>
      </c>
      <c r="C33" s="79" t="s">
        <v>298</v>
      </c>
      <c r="D33" s="79" t="s">
        <v>299</v>
      </c>
      <c r="E33" s="79" t="s">
        <v>300</v>
      </c>
      <c r="F33" s="79" t="s">
        <v>301</v>
      </c>
    </row>
    <row r="34" customFormat="false" ht="18" hidden="false" customHeight="true" outlineLevel="0" collapsed="false">
      <c r="B34" s="80" t="s">
        <v>6</v>
      </c>
      <c r="C34" s="80" t="s">
        <v>302</v>
      </c>
      <c r="D34" s="80" t="s">
        <v>303</v>
      </c>
      <c r="E34" s="80" t="s">
        <v>304</v>
      </c>
      <c r="F34" s="80" t="s">
        <v>305</v>
      </c>
    </row>
  </sheetData>
  <mergeCells count="3">
    <mergeCell ref="B2:L2"/>
    <mergeCell ref="B4:L5"/>
    <mergeCell ref="B32: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2026-05-14T15:57:38Z</dcterms:created>
  <dc:creator>openpyxl</dc:creator>
  <dc:description/>
  <dc:language>en-US</dc:language>
  <cp:lastModifiedBy/>
  <dcterms:modified xsi:type="dcterms:W3CDTF">2026-05-14T15:57:39Z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