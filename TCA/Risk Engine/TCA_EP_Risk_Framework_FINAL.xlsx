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tage Weights" sheetId="2" state="visible" r:id="rId4"/>
    <sheet name="Core Risk Domain" sheetId="3" state="visible" r:id="rId5"/>
    <sheet name="Scoring Calculator" sheetId="4" state="visible" r:id="rId6"/>
    <sheet name="Audit &amp; RIA Compliance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<sst xmlns="http://schemas.openxmlformats.org/spreadsheetml/2006/main" count="395" uniqueCount="354">
  <si>
    <t xml:space="preserve">TokenCap Advisors LLC  |  TCA Intelligence Framework</t>
  </si>
  <si>
    <t xml:space="preserve">Upstream E&amp;P — Core Risk Domain Framework</t>
  </si>
  <si>
    <t xml:space="preserve">Version 1.0  |  Effective Date: 2026  |  CONFIDENTIAL — RIA RECORD</t>
  </si>
  <si>
    <t xml:space="preserve">Document Purpose</t>
  </si>
  <si>
    <t xml:space="preserve">This workbook constitutes the authoritative TCA Core Risk Domain Framework for U.S. Upstream Exploration &amp; Production (E&amp;P) investments, covering the full project lifecycle from Virgin Exploration through Producing Wells. It is a governed, version-controlled record produced in compliance with the Investment Advisers Act of 1940 and SEC Rule 204-2 (Books &amp; Records, 17 CFR § 275.204-2). All scored outputs derived from this framework must be retained for a minimum of five years in an immutable format accessible to regulators upon request. TCA functions as an independent evaluation platform: R&amp;I produces the evaluative record; Risk applies independent scoring governance. These functions are structurally separated per TCA policy.</t>
  </si>
  <si>
    <t xml:space="preserve">Framework Version:</t>
  </si>
  <si>
    <t xml:space="preserve">TCA-EP-001-v1.0</t>
  </si>
  <si>
    <t xml:space="preserve">Asset Class:</t>
  </si>
  <si>
    <t xml:space="preserve">U.S. Upstream E&amp;P (Conventional &amp; Unconventional; All Basins)</t>
  </si>
  <si>
    <t xml:space="preserve">Issuing Function:</t>
  </si>
  <si>
    <t xml:space="preserve">TCA Research &amp; Investment (R&amp;I) / Risk Function</t>
  </si>
  <si>
    <t xml:space="preserve">Methodology Basis:</t>
  </si>
  <si>
    <t xml:space="preserve">TCA Five-Domain Risk Framework  |  Stage-Sensitive Weighting  |  E&amp;P Upstream Risk Continuum</t>
  </si>
  <si>
    <t xml:space="preserve">Regulatory Alignment:</t>
  </si>
  <si>
    <t xml:space="preserve">Investment Advisers Act 1940  |  SEC Rule 204-2  |  RIA Recordkeeping</t>
  </si>
  <si>
    <t xml:space="preserve">Retention Requirement:</t>
  </si>
  <si>
    <t xml:space="preserve">Minimum 5 years — immutable storage required</t>
  </si>
  <si>
    <t xml:space="preserve">Review Cycle:</t>
  </si>
  <si>
    <t xml:space="preserve">Annual or upon material methodology change (CRO approval required)</t>
  </si>
  <si>
    <t xml:space="preserve">Approved by:</t>
  </si>
  <si>
    <t xml:space="preserve">[CRO Signature / Date]</t>
  </si>
  <si>
    <t xml:space="preserve">Five Risk Domains — E&amp;P Upstream Mapping</t>
  </si>
  <si>
    <t xml:space="preserve">TCA Domain</t>
  </si>
  <si>
    <t xml:space="preserve">E&amp;P Upstream Application</t>
  </si>
  <si>
    <t xml:space="preserve">Foundational / Asset Risk (FR)</t>
  </si>
  <si>
    <t xml:space="preserve">Geological &amp; Reservoir Risk</t>
  </si>
  <si>
    <t xml:space="preserve">Technical &amp; Execution Risk (TE)</t>
  </si>
  <si>
    <t xml:space="preserve">Drilling, Completion &amp; Execution Risk</t>
  </si>
  <si>
    <t xml:space="preserve">Regulatory &amp; External Constraint (RE)</t>
  </si>
  <si>
    <t xml:space="preserve">Regulatory, Environmental &amp; Permitting Risk</t>
  </si>
  <si>
    <t xml:space="preserve">Commercial &amp; Financial Risk (CF)</t>
  </si>
  <si>
    <t xml:space="preserve">Lease, Capital Structure, Commodity &amp; Economics Risk</t>
  </si>
  <si>
    <t xml:space="preserve">Infrastructure, Integration &amp; Market (IM)</t>
  </si>
  <si>
    <t xml:space="preserve">Takeaway, Processing, Basis &amp; Market Access Risk</t>
  </si>
  <si>
    <t xml:space="preserve">⚠  RIA Notice: This framework and all outputs constitute research records subject to SEC Rule 204-2. Outputs must be traceable, reproducible, and retained. Scoring must be performed within the TCA Risk Engine once operational. Spreadsheet-based assessments are an interim measure only.</t>
  </si>
  <si>
    <t xml:space="preserve">E&amp;P Risk Continuum &amp; Return Alignment</t>
  </si>
  <si>
    <t xml:space="preserve">Stage</t>
  </si>
  <si>
    <t xml:space="preserve">Primary Risk Driver</t>
  </si>
  <si>
    <t xml:space="preserve">Capital Type</t>
  </si>
  <si>
    <t xml:space="preserve">Target IRR Range</t>
  </si>
  <si>
    <t xml:space="preserve">Virgin Exploration</t>
  </si>
  <si>
    <t xml:space="preserve">Geological uncertainty — hydrocarbon presence unproven</t>
  </si>
  <si>
    <t xml:space="preserve">Wildcat / High-risk equity</t>
  </si>
  <si>
    <t xml:space="preserve">35–70%+ (binary outcomes)</t>
  </si>
  <si>
    <t xml:space="preserve">Prospect Defined</t>
  </si>
  <si>
    <t xml:space="preserve">Subsurface probability &amp; drilling execution uncertainty</t>
  </si>
  <si>
    <t xml:space="preserve">Venture energy / Family office</t>
  </si>
  <si>
    <t xml:space="preserve">25–45%</t>
  </si>
  <si>
    <t xml:space="preserve">Permitted / Drill-Ready</t>
  </si>
  <si>
    <t xml:space="preserve">Execution risk &amp; cost certainty</t>
  </si>
  <si>
    <t xml:space="preserve">Opportunistic private equity</t>
  </si>
  <si>
    <t xml:space="preserve">20–35%</t>
  </si>
  <si>
    <t xml:space="preserve">Drilled &amp; Tested</t>
  </si>
  <si>
    <t xml:space="preserve">Capital intensity &amp; development scalability</t>
  </si>
  <si>
    <t xml:space="preserve">Structured equity / Energy PE</t>
  </si>
  <si>
    <t xml:space="preserve">18–30%</t>
  </si>
  <si>
    <t xml:space="preserve">Development Program</t>
  </si>
  <si>
    <t xml:space="preserve">Cost control, timing, operational scaling</t>
  </si>
  <si>
    <t xml:space="preserve">Institutional private equity</t>
  </si>
  <si>
    <t xml:space="preserve">15–25%</t>
  </si>
  <si>
    <t xml:space="preserve">Producing Wells (PDP)</t>
  </si>
  <si>
    <t xml:space="preserve">Commodity price &amp; operating efficiency</t>
  </si>
  <si>
    <t xml:space="preserve">Yield / Credit / Income capital</t>
  </si>
  <si>
    <t xml:space="preserve">8–18%</t>
  </si>
  <si>
    <t xml:space="preserve">TCA Upstream E&amp;P — Stage-Sensitive Domain Weight Table</t>
  </si>
  <si>
    <t xml:space="preserve">Domain weights shift dynamically across the six-stage E&amp;P risk continuum per TCA methodology. Weights must sum to 100% per stage. Stage assignment must reflect current project status and requires analyst confirmation. Geological risk weight declines as subsurface uncertainty is resolved; commercial and infrastructure risk rises as the asset approaches production.</t>
  </si>
  <si>
    <t xml:space="preserve">Risk Domain (TCA Mapping)</t>
  </si>
  <si>
    <t xml:space="preserve">Virgin
Exploration</t>
  </si>
  <si>
    <t xml:space="preserve">Prospect
Defined</t>
  </si>
  <si>
    <t xml:space="preserve">Permitted /
Drill-Ready</t>
  </si>
  <si>
    <t xml:space="preserve">Drilled &amp;
Tested</t>
  </si>
  <si>
    <t xml:space="preserve">Development
Program</t>
  </si>
  <si>
    <t xml:space="preserve">Producing
Wells (PDP)</t>
  </si>
  <si>
    <t xml:space="preserve">Weighting Rationale</t>
  </si>
  <si>
    <t xml:space="preserve">Geological &amp; Reservoir Risk (FR)</t>
  </si>
  <si>
    <t xml:space="preserve">Dominates at Virgin Exploration — subsurface uncertainty is the foundational risk; geological probability of success (PoS) drives the entire investment thesis. Declines as technical data accumulates.</t>
  </si>
  <si>
    <t xml:space="preserve">Rises from Prospect Defined through Development — drilling complexity, completion design, AFE confidence, and operator execution capability are the primary value-creation or destruction levers.</t>
  </si>
  <si>
    <t xml:space="preserve">Regulatory &amp; Environmental (RE)</t>
  </si>
  <si>
    <t xml:space="preserve">Cross-stage, with peak at Permitted/Drill-Ready — federal vs. state jurisdiction, permit status, and environmental compliance must be resolved before capital can be committed. Remains material at all stages.</t>
  </si>
  <si>
    <t xml:space="preserve">Low at exploration; dominates at Producing — lease structure, royalty burden, commodity hedge position, and capital stack stability drive cash flow predictability and investor returns on operating assets.</t>
  </si>
  <si>
    <t xml:space="preserve">Infrastructure &amp; Market Risk (IM)</t>
  </si>
  <si>
    <t xml:space="preserve">Rises sharply at Producing stage — takeaway capacity, basis differentials, and LOE sensitivity directly affect realized price and cash flow. Constrained infrastructure is the primary operational value-destroyer at scale.</t>
  </si>
  <si>
    <t xml:space="preserve">Sum Check (must = 100%)</t>
  </si>
  <si>
    <t xml:space="preserve">TokenCap Advisors LLC  |  TCA Intelligence Framework  |  Upstream E&amp;P — Core Risk Domain Data Collection Framework</t>
  </si>
  <si>
    <t xml:space="preserve">Framework Version: TCA-EP-001-v1.0  |  Asset Class: U.S. Upstream E&amp;P  |  Regulatory Basis: Investment Advisers Act 1940  |  SEC Rule 204-2  |  Methodology: TCA Five-Domain Risk Framework  |  Continuum: Virgin Exploration → Producing Wells</t>
  </si>
  <si>
    <t xml:space="preserve">SCORING KEY:  Likelihood 0–3  ×  Impact 0–3  =  Inherent Risk (0–9)  |  Residual Risk = Inherent ÷ Control Effectiveness (1=Weak, 2=Adequate, 3=Strong)  |  TCA Grade:  1.0–1.9=TCA-A (Stable / PDP)  2.0–2.5=TCA-B (Core)  2.6–3.2=TCA-C (Opportunistic)  3.3–4.0=TCA-D (High-Risk / Development)  &gt;4.0=TCA-S (Speculative / Exploration)</t>
  </si>
  <si>
    <t xml:space="preserve">#</t>
  </si>
  <si>
    <t xml:space="preserve">Risk Domain
(TCA Mapping)</t>
  </si>
  <si>
    <t xml:space="preserve">Risk Element</t>
  </si>
  <si>
    <t xml:space="preserve">Description</t>
  </si>
  <si>
    <t xml:space="preserve">Information Required
(Data Collection Checklist)</t>
  </si>
  <si>
    <t xml:space="preserve">Risk Signature
(What Can Go Wrong)</t>
  </si>
  <si>
    <t xml:space="preserve">Primary Data Sources</t>
  </si>
  <si>
    <t xml:space="preserve">Source Type</t>
  </si>
  <si>
    <t xml:space="preserve">Likelihood
(0–3)</t>
  </si>
  <si>
    <t xml:space="preserve">Impact
(0–3)</t>
  </si>
  <si>
    <t xml:space="preserve">Inherent
Risk</t>
  </si>
  <si>
    <t xml:space="preserve">Control
Effectiveness
(1–3)</t>
  </si>
  <si>
    <t xml:space="preserve">Residual
Risk</t>
  </si>
  <si>
    <t xml:space="preserve">Analyst Notes / Evidence Reference</t>
  </si>
  <si>
    <t xml:space="preserve">RIA Recordkeeping Note
(SEC Rule 204-2)</t>
  </si>
  <si>
    <t xml:space="preserve">  Geological &amp; Reservoir Risk
(Foundational / Asset Risk — FR)</t>
  </si>
  <si>
    <t xml:space="preserve">Basin Context, Maturity
&amp; Petroleum System Integrity</t>
  </si>
  <si>
    <t xml:space="preserve">Evaluation of basin type, tectonic history, depositional environment, and overall petroleum system completeness (source-reservoir-trap-seal).</t>
  </si>
  <si>
    <t xml:space="preserve">Basin type (rift/foreland/cratonic/passive margin); tectonic and sedimentary evolution history; basin maturity classification (frontier/emerging/mature); historical well success rates; 2D/3D seismic coverage; regional petroleum system studies</t>
  </si>
  <si>
    <t xml:space="preserve">Frontier basin with no proven petroleum system; incomplete petroleum system (missing charge, seal, or trap component); limited analog well control increases geological uncertainty</t>
  </si>
  <si>
    <t xml:space="preserve">Regional geology reports; USGS basin assessments; IHS/Enverus basin studies; state geological surveys; prior operator well reports; 2D/3D seismic interpretations</t>
  </si>
  <si>
    <t xml:space="preserve">Geological / Technical</t>
  </si>
  <si>
    <t xml:space="preserve">Determine whether basin is frontier, emerging, or mature. Review historical well success rates (dry hole ratio). Require documented petroleum system analysis — source, migration, trap, and seal must all be addressed.</t>
  </si>
  <si>
    <t xml:space="preserve">Retain per SEC Rule 204-2 — minimum 5 years</t>
  </si>
  <si>
    <t xml:space="preserve">Trap &amp; Seal Integrity
(Structural / Stratigraphic / Combination)</t>
  </si>
  <si>
    <t xml:space="preserve">Confidence in trap definition, fault seal competency, and capacity of the cap rock to retain hydrocarbons at reservoir conditions.</t>
  </si>
  <si>
    <t xml:space="preserve">Trap type classification (structural/stratigraphic/combination); 3D seismic trap definition quality; fault interpretation and activity assessment; seal lithology, thickness, and capillary entry pressure; fault seal analysis (SGR/CSP); closure area and volume estimate</t>
  </si>
  <si>
    <t xml:space="preserve">Trap definition uncertainty results in dry hole; fault reactivation or leakage causes accumulation loss; inadequate seal capacity fails to retain hydrocarbons at reservoir pressures</t>
  </si>
  <si>
    <t xml:space="preserve">3D seismic interpretation; fault seal analysis software (Petrel, Move); pressure prediction models; analogous field data; geomechanical fault stability analysis</t>
  </si>
  <si>
    <t xml:space="preserve">Distinguish proven structural closure from inferred; require fault seal risk quantification (SGR analysis). Trap definition confidence is a primary driver of pre-drill probability of success (PoS).</t>
  </si>
  <si>
    <t xml:space="preserve">Source Rock Viability &amp;
Hydrocarbon Generation</t>
  </si>
  <si>
    <t xml:space="preserve">Organic richness, thermal maturity, and kerogen quality of the source rock interval, establishing charge adequacy for the target accumulation.</t>
  </si>
  <si>
    <t xml:space="preserve">Total Organic Carbon (TOC, %); Hydrogen Index (HI); Vitrinite Reflectance (Ro) for thermal maturity; kerogen type (I/II/III); Rock-Eval pyrolysis data; basin modeling calibration points; transformation ratio (TR)</t>
  </si>
  <si>
    <t xml:space="preserve">Source rock below generation threshold; over-mature source generating dry gas where oil targeted; kerogen type inconsistent with target fluid; insufficient organic richness for commercial charge</t>
  </si>
  <si>
    <t xml:space="preserve">Core and cuttings geochemistry; Rock-Eval pyrolysis reports; well log Δ log R analysis; basin modeling software (PetroMod, BasinMod); fluid inclusion analysis; DST/MDT pressure data</t>
  </si>
  <si>
    <t xml:space="preserve">Geological / Geochemical</t>
  </si>
  <si>
    <t xml:space="preserve">Require direct geochemical evidence where available; basin modeling calibration to known fields. Ro &gt;3.5 indicates post-mature/over-cooked source — no residual generation potential.</t>
  </si>
  <si>
    <t xml:space="preserve">Charge Dynamics, Migration
&amp; Timing</t>
  </si>
  <si>
    <t xml:space="preserve">Assessment of hydrocarbon migration pathways, expulsion efficiency, and whether charge timing was synchronous with trap formation.</t>
  </si>
  <si>
    <t xml:space="preserve">Burial history reconstruction; peak generation timing vs. trap formation age; migration pathway analysis (carrier beds, fault conduits); expulsion efficiency estimates; fluid inclusion analysis; secondary migration distance</t>
  </si>
  <si>
    <t xml:space="preserve">Charge arrived before trap formed (timing mismatch); migration pathways blocked or diverted; insufficient expulsion efficiency to fill trap; re-migration after seal breach</t>
  </si>
  <si>
    <t xml:space="preserve">Basin modeling (PetroMod/BasinMod); fluid inclusion petrography; seismic amplitude vs. offset (AVO) analysis; geochemical correlation of oils to source; nearby field production data</t>
  </si>
  <si>
    <t xml:space="preserve">Look for proven hydrocarbon generation and migration in the basin before committing capital. Fluid inclusion data and oil-source correlation provide strongest charge evidence. Document migration direction and distance.</t>
  </si>
  <si>
    <t xml:space="preserve">Reservoir Quality
(Porosity, Permeability &amp; Net Pay)</t>
  </si>
  <si>
    <t xml:space="preserve">Quality of the reservoir interval in terms of porosity, permeability, net pay thickness, depth, and sensitivity to diagenetic or completion damage.</t>
  </si>
  <si>
    <t xml:space="preserve">Porosity (%); permeability (mD); net-to-gross ratio; depth and thickness; lithology and diagenesis description; reservoir sensitivity (water/acid/salt sensitivity); routine and special core analysis (RCA/SCAL); mercury injection capillary pressure (MICP)</t>
  </si>
  <si>
    <t xml:space="preserve">Tight reservoir with permeability below economic threshold; diagenetic cementation destroys primary porosity; reservoir sensitivity causes formation damage during completion; insufficient net pay for economic production</t>
  </si>
  <si>
    <t xml:space="preserve">Well log interpretation (Archie equation, neutron-density crossplot); core analysis reports (RCA/SCAL); mercury injection data; scanning electron microscopy (SEM); X-ray diffraction (XRD) for clay typing</t>
  </si>
  <si>
    <t xml:space="preserve">Geological / Petrophysical</t>
  </si>
  <si>
    <t xml:space="preserve">Higher porosity (&gt;10%) and permeability (&gt;1 mD) improve productivity. Review logs and core samples. Document porosity/permeability cut-offs used in net pay calculation. Flag clay-sensitive intervals for completion design.</t>
  </si>
  <si>
    <t xml:space="preserve">Fluid Properties &amp;
Hydrocarbon Phase Characterization</t>
  </si>
  <si>
    <t xml:space="preserve">Characterization of reservoir fluid type, phase behavior, non-hydrocarbon content, and PVT properties governing production and processing requirements.</t>
  </si>
  <si>
    <t xml:space="preserve">Fluid type (oil/gas/condensate/wet gas); API gravity; GOR; H2S and CO2 content (%); pressure/volume/temperature (PVT) data; dew point pressure (for gas condensate); asphaltene/wax content; MDT/RFT pressure and fluid samples</t>
  </si>
  <si>
    <t xml:space="preserve">H2S or CO2 content requires expensive treatment equipment and safety protocols; retrograde condensate below dew point blocks pores; high wax content causes flow assurance problems; non-hydrocarbon content reduces net revenue</t>
  </si>
  <si>
    <t xml:space="preserve">MDT/RFT formation tests; wellhead fluid sampling; PVT laboratory reports (CVD/CCE tests); direct hydrocarbon indicators (DHI) on seismic; offset well DST results</t>
  </si>
  <si>
    <t xml:space="preserve">Geological / Engineering</t>
  </si>
  <si>
    <t xml:space="preserve">H2S &gt;500 ppm requires SOUR service equipment — significant cost and safety implications. CO2 &gt;5% may require corrosion-resistant metallurgy and gas treatment. Confirm PVT data is from representative samples.</t>
  </si>
  <si>
    <t xml:space="preserve">Geomechanics, Wellbore Stability
&amp; Pressure Regime</t>
  </si>
  <si>
    <t xml:space="preserve">In-situ stress state, pore pressure regime, fracture gradient, and wellbore stability constraints that govern drilling safety and well design.</t>
  </si>
  <si>
    <t xml:space="preserve">Rock strength parameters (UCS, tensile strength); minimum horizontal stress (Shmin); maximum horizontal stress (SHmax); pore pressure gradient (ppg); fracture gradient (ppg); overpressure zones; wellbore stability analysis; borehole breakout data from image logs</t>
  </si>
  <si>
    <t xml:space="preserve">Wellbore instability causes stuck pipe, lost circulation, or blowout; unexpected overpressure requires well control response; narrow drilling window between pore pressure and fracture gradient limits mud weight options</t>
  </si>
  <si>
    <t xml:space="preserve">Geomechanical modeling (Petrel, VISAGE); offset well drilling reports; sonic log data (DTC/DTS); image log interpretation; mud log shows; pore pressure prediction models</t>
  </si>
  <si>
    <t xml:space="preserve">Narrow pore pressure/fracture gradient window (&lt;0.3 ppg) is a critical wellbore stability risk flag. Require pre-drill pore pressure prediction from offset wells. Review IADC well control records for the area.</t>
  </si>
  <si>
    <t xml:space="preserve">  Technical &amp; Execution Risk
(Technical &amp; Execution Risk — TE)</t>
  </si>
  <si>
    <t xml:space="preserve">Drilling Program Design
&amp; Wellbore Architecture</t>
  </si>
  <si>
    <t xml:space="preserve">Quality and completeness of the well design relative to target depth, lithological hazards, pressure regime, and directional objectives.</t>
  </si>
  <si>
    <t xml:space="preserve">Target depth (TVD/MD); well trajectory design (vertical/directional/horizontal); casing program; mud system selection; BHA design; drilling hazard assessment (shallow gas, fault zones, unstable formations, H2S); lateral length (horizontal wells)</t>
  </si>
  <si>
    <t xml:space="preserve">Inadequate wellbore architecture for encountered conditions; shallow gas kicks cause well control events; fault zone drilling causes lost circulation; poor trajectory design results in poor wellbore placement in reservoir</t>
  </si>
  <si>
    <t xml:space="preserve">Drilling program document; offset well drilling reports; formation evaluation logs; pore pressure prediction reports; site survey (shallow seismic); IADC incident database for area</t>
  </si>
  <si>
    <t xml:space="preserve">Technical / Operational</t>
  </si>
  <si>
    <t xml:space="preserve">High-pressure zones, deep wells (&gt;15,000 TVD), or complex fault geology elevate operational risk significantly. Require pre-drill hazard assessment documentation. Flag wells with &lt;1.0 ppg margin between pore pressure and fracture gradient.</t>
  </si>
  <si>
    <t xml:space="preserve">Completion Design &amp;
Stimulation Effectiveness</t>
  </si>
  <si>
    <t xml:space="preserve">Appropriateness of the completion and hydraulic fracturing design for the target formation, based on basin best practices and offset well data.</t>
  </si>
  <si>
    <t xml:space="preserve">Completion type (plug-and-perf, sliding sleeve, open hole); number of frac stages; lateral length; proppant volume and type; fluid system; cluster spacing; historical completion intensity comparables (lbs proppant/ft, bbl fluid/ft); production response data from offset completions</t>
  </si>
  <si>
    <t xml:space="preserve">Sub-optimal completion design relative to rock properties results in poor stimulated reservoir volume (SRV); excessive proppant embedment in soft rock reduces conductivity; wrong fluid system causes formation damage</t>
  </si>
  <si>
    <t xml:space="preserve">Historical offset well completion reports (IHS/Enverus); state production databases; operator internal completion data; SPE completion optimization papers for the basin; core-to-completion studies</t>
  </si>
  <si>
    <t xml:space="preserve">Technical / Geological</t>
  </si>
  <si>
    <t xml:space="preserve">Evaluate whether completion design matches current basin best practices. Under-stimulated wells in tight formations consistently underperform type curves. Require documented basis for stage count and proppant loading decisions.</t>
  </si>
  <si>
    <t xml:space="preserve">AFE Cost Reliability
&amp; Budget Confidence</t>
  </si>
  <si>
    <t xml:space="preserve">Credibility of the Authorization for Expenditure (AFE) estimate relative to historical well costs, current service pricing, and contingency adequacy.</t>
  </si>
  <si>
    <t xml:space="preserve">Detailed AFE breakdown (drilling/completion/facilities/surface); historical well cost comparables in the basin; cost variance on prior wells by operator; contingency percentage (benchmark: 10–15%); current rig day rate and service cost environment</t>
  </si>
  <si>
    <t xml:space="preserve">AFE underestimation forces additional capital calls; cost overruns erode IRR and may exceed investor commitments; inadequate contingency exhausts budget before TD</t>
  </si>
  <si>
    <t xml:space="preserve">Operator AFE document; IHS/Enverus well cost database; state commission well cost reports; rig day rate indices (Rigzone); service company pricing surveys; prior well AFE vs. actual comparisons</t>
  </si>
  <si>
    <t xml:space="preserve">Financial / Technical</t>
  </si>
  <si>
    <t xml:space="preserve">Require three comparable recent well AFEs from the basin. Flag if operator's AFE is &gt;15% below basin median without documented explanation. Contingency &lt;10% on a complex well is insufficient.</t>
  </si>
  <si>
    <t xml:space="preserve">Operator Track Record
&amp; Organizational Capability</t>
  </si>
  <si>
    <t xml:space="preserve">Assessment of the operating company's drilling execution history, technical team depth, financial strength, and ability to manage a well program.</t>
  </si>
  <si>
    <t xml:space="preserve">Number of wells drilled (total and in this basin/formation); average IP30 performance vs. type curve; safety record (TRIR/LTIR); financial capacity for capital calls; license/permit compliance history; state operator registration status</t>
  </si>
  <si>
    <t xml:space="preserve">Inexperienced operator in an unfamiliar basin makes poor technical decisions; financial weakness triggers forced sale or program abandonment; safety incidents create regulatory and reputational exposure</t>
  </si>
  <si>
    <t xml:space="preserve">State commission operator records; BSEE/BOEM operator history (federal lands); Enverus/IHS operator production performance; OSHA safety records; operator financial statements; reference checks from co-investors</t>
  </si>
  <si>
    <t xml:space="preserve">Operational / Credit</t>
  </si>
  <si>
    <t xml:space="preserve">Strong operators reduce execution risk — review at least 10 comparable wells with IP data. Require current operator registration and license status confirmation. Financial capacity for full capital program is a MDSC requirement.</t>
  </si>
  <si>
    <t xml:space="preserve">Supply Chain Exposure
&amp; Service Availability</t>
  </si>
  <si>
    <t xml:space="preserve">Risk that rig, completion crew, water logistics, or critical equipment availability constrains the drilling program schedule or inflates costs.</t>
  </si>
  <si>
    <t xml:space="preserve">Rig availability and day rate in the basin; frac crew availability and spread count; proppant supply logistics (mine distance, rail/truck); water sourcing and disposal permits; transformer and long-lead equipment lead times; contingency sourcing plan</t>
  </si>
  <si>
    <t xml:space="preserve">Rig shortage delays program start; frac crew scarcity inflates completion costs; water logistics failure halts operations; supply chain disruption (e.g., proppant shortage, tariff impacts) increases costs</t>
  </si>
  <si>
    <t xml:space="preserve">Rigzone rig availability data; oilfield service company capacity surveys; state water board records; operator supply chain documentation; recent basin activity reports (Primary Vision frac spread count)</t>
  </si>
  <si>
    <t xml:space="preserve">Operational / Market</t>
  </si>
  <si>
    <t xml:space="preserve">Evaluate whether supply chain constraints could delay operations or inflate costs. Basin activity level is the primary driver of service availability — high rig count increases competition for crews.</t>
  </si>
  <si>
    <t xml:space="preserve">  Regulatory &amp; Environmental Risk
(Regulatory &amp; External Constraint Risk — RE)</t>
  </si>
  <si>
    <t xml:space="preserve">Permit Status &amp;
Approval Completeness</t>
  </si>
  <si>
    <t xml:space="preserve">Status of all drilling, completion, surface use, and disposal permits required to commence and complete operations.</t>
  </si>
  <si>
    <t xml:space="preserve">APD (Application to Permit to Drill) status; spud permit; disposal well permit (UIC Class II); road use agreement; surface use agreement; water disposal permit; state commission approval; expected permit timeline</t>
  </si>
  <si>
    <t xml:space="preserve">Unpermitted well cannot spud; permit denial forces program redesign; unexpected conditions attached to permit approval add cost and time; permit expiration requires re-application</t>
  </si>
  <si>
    <t xml:space="preserve">State oil and gas commission permit database; BLM/USFS permit records (federal lands); EPA UIC permit database; county road use agreements; NEPA documents (federal lands)</t>
  </si>
  <si>
    <t xml:space="preserve">Regulatory</t>
  </si>
  <si>
    <t xml:space="preserve">Confirm permit approvals and expected timelines before capital commitment. Federal lands (BLM) typically involve APD review times of 6–18 months. State permits vary from days to months depending on jurisdiction.</t>
  </si>
  <si>
    <t xml:space="preserve">Federal vs. State Jurisdiction
&amp; Regulatory Complexity</t>
  </si>
  <si>
    <t xml:space="preserve">Classification of land ownership and mineral rights jurisdiction, and its effect on permitting complexity, timeline, and operating requirements.</t>
  </si>
  <si>
    <t xml:space="preserve">Land ownership (fee/state/federal/tribal); mineral rights ownership and leasehold validity; regulatory authority (state commission vs. BLM/BSEE vs. tribal); NEPA review requirement; federal royalty rate; Indian Land regulations</t>
  </si>
  <si>
    <t xml:space="preserve">Federal and tribal lands have significantly longer permitting timelines (12–24+ months NEPA review); federal royalty rates are higher (16.67% onshore); tribal lands require separate sovereign consultation process</t>
  </si>
  <si>
    <t xml:space="preserve">Bureau of Land Management (BLM) records; BSEE offshore data; state oil and gas commission records; tribal authority records; NEPA environmental assessment documents</t>
  </si>
  <si>
    <t xml:space="preserve">Regulatory / Legal</t>
  </si>
  <si>
    <t xml:space="preserve">Federal lands or tribal minerals are a high-complexity regulatory flag. Document land ownership and mineral rights classification as a MDSC requirement. Indian Land projects require specific tribal consultation and approval.</t>
  </si>
  <si>
    <t xml:space="preserve">Environmental Exposure
&amp; Site Sensitivity</t>
  </si>
  <si>
    <t xml:space="preserve">Environmental constraints on the project location including wetlands, endangered species habitat, drinking water aquifer proximity, and air quality attainment status.</t>
  </si>
  <si>
    <t xml:space="preserve">Wetlands delineation (Army Corps Section 404 jurisdiction); ESA Section 7/10 biological assessment status; USFWS critical habitat maps; proximity to drinking water sources (EPA SDWA); air quality attainment status; floodplain classification (FEMA)</t>
  </si>
  <si>
    <t xml:space="preserve">Wetland or critical habitat presence triggers federal permit requirements adding 6–18 months; threatened/endangered species findings can halt or kill projects; proximity to water sources increases scrutiny and bonding requirements</t>
  </si>
  <si>
    <t xml:space="preserve">USFWS IPaC habitat tool; Army Corps jurisdictional wetland delineation; FEMA Flood Map Service Center; EPA ECHO environmental compliance database; state environmental agency records; Phase I ESA</t>
  </si>
  <si>
    <t xml:space="preserve">Environmental / Regulatory</t>
  </si>
  <si>
    <t xml:space="preserve">Identify all potential environmental sensitivities before committing capital. Wetlands + endangered species + federal land = maximum regulatory complexity scenario. Document all environmental surveys conducted.</t>
  </si>
  <si>
    <t xml:space="preserve">Litigation Risk &amp;
Stakeholder Opposition</t>
  </si>
  <si>
    <t xml:space="preserve">Exposure to legal challenges, community opposition, NGO activity, and surface owner disputes that could delay or block operations.</t>
  </si>
  <si>
    <t xml:space="preserve">Surface owner access agreement status; community opposition history in the area; NGO/advocacy group presence and activity; prior legal challenges to similar projects in jurisdiction; easement and right-of-way status</t>
  </si>
  <si>
    <t xml:space="preserve">Surface owner disputes halt drilling access; NGO litigation delays permitting; community opposition triggers enhanced regulatory scrutiny; NIMBY opposition in densely populated areas adds risk premium</t>
  </si>
  <si>
    <t xml:space="preserve">Surface use agreement records; court filings (PACER); state commission docket for contested permits; local newspaper/media monitoring; operator community relations documentation</t>
  </si>
  <si>
    <t xml:space="preserve">Legal / Social</t>
  </si>
  <si>
    <t xml:space="preserve">Assess risk of project delays from litigation. Urban/suburban drilling requires enhanced community engagement. Document all surface agreements and right-of-way completeness.</t>
  </si>
  <si>
    <t xml:space="preserve">Regulatory Stability &amp;
Policy Environment</t>
  </si>
  <si>
    <t xml:space="preserve">Predictability of the regulatory environment including state commission policy posture, federal leasing program stability, and risk of rule changes affecting operations.</t>
  </si>
  <si>
    <t xml:space="preserve">State regulatory policy history (e.g., Colorado SB 181, New Mexico methane rules); federal leasing program status (BLM lease sale frequency); historical permitting delay trends; methane and GHG reporting requirements; potential regulatory changes in pipeline</t>
  </si>
  <si>
    <t xml:space="preserve">State regulatory changes increase compliance cost or restrict operations; federal leasing moratoriums block new permits; enhanced methane rules add monitoring and reporting cost</t>
  </si>
  <si>
    <t xml:space="preserve">State legislative tracking; BLM leasing program records; EPA methane rule docket; IPAA/API regulatory tracker; state commission administrative proceedings</t>
  </si>
  <si>
    <t xml:space="preserve">Regulatory / Political</t>
  </si>
  <si>
    <t xml:space="preserve">Evaluate predictability of regulatory environment and identify pipeline rule changes. States with recent major regulatory changes (CO, NM, CA) require elevated regulatory risk scores.</t>
  </si>
  <si>
    <t xml:space="preserve">  Commercial &amp; Financial Risk
(Commercial &amp; Financial Risk — CF)</t>
  </si>
  <si>
    <t xml:space="preserve">Lease Structure, Royalty
&amp; Working Interest Burden</t>
  </si>
  <si>
    <t xml:space="preserve">Assessment of lease terms, royalty obligations, overriding royalties, and net revenue interest available to the working interest owner.</t>
  </si>
  <si>
    <t xml:space="preserve">Gross working interest (WI%); net revenue interest (NRI%); lessor royalty rate (%); overriding royalty interests (ORRI) and total burden; lease primary term and HBP status; continuous drilling obligations; acreage expiration risk</t>
  </si>
  <si>
    <t xml:space="preserve">High royalty burden (lessor + ORRI &gt;25%) significantly reduces NRI and cash flow; lease expiration forces unplanned drilling or acreage loss; continuous drilling obligations consume capital</t>
  </si>
  <si>
    <t xml:space="preserve">Lease agreements; title opinion; division order; county deed records; state mineral records; operator land department documentation</t>
  </si>
  <si>
    <t xml:space="preserve">Legal / Financial</t>
  </si>
  <si>
    <t xml:space="preserve">High royalty burdens directly reduce project economics. NRI below 75% requires careful economic justification. Verify all ORRI obligations through independent title opinion. Flag leases with acreage expiration within 12 months.</t>
  </si>
  <si>
    <t xml:space="preserve">Capital Structure &amp;
Financial Leverage</t>
  </si>
  <si>
    <t xml:space="preserve">Debt levels, capital structure complexity, and financial leverage relative to the project's risk profile and expected cash flow timing.</t>
  </si>
  <si>
    <t xml:space="preserve">Equity vs. debt split (%); debt instrument type (RBL, bridge, mezzanine, term loan); lender terms and financial covenants; leverage ratio (Debt/EBITDAX); interest coverage requirements; capital call provisions; guaranty structure</t>
  </si>
  <si>
    <t xml:space="preserve">Excess leverage amplifies downside in low commodity price environment; covenant breach triggers technical default; high debt service reduces cash available for operations or development</t>
  </si>
  <si>
    <t xml:space="preserve">Financing agreements; loan documents; reserve-based lending (RBL) redetermination schedule; operator financial statements; lender credit approval documentation</t>
  </si>
  <si>
    <t xml:space="preserve">Financial / Credit</t>
  </si>
  <si>
    <t xml:space="preserve">Excess leverage increases financial risk in commodity downturns. For RBL facilities, document the borrowing base determination methodology and commodity price deck used by lender. Flag leverage &gt;2.5x Debt/EBITDAX.</t>
  </si>
  <si>
    <t xml:space="preserve">Funding Certainty
&amp; Capital Commitment</t>
  </si>
  <si>
    <t xml:space="preserve">Degree to which project funding is committed vs. conditional, and the risk of funding gaps before project milestones are achieved.</t>
  </si>
  <si>
    <t xml:space="preserve">Committed vs. conditional capital (signed subscription vs. LOI); investor participation rate; remaining capital calls schedule vs. project milestone timeline; AFE coverage by committed capital; operator financial capacity for program obligations</t>
  </si>
  <si>
    <t xml:space="preserve">Funding gap before TD forces distressed raise or program halt; conditional commitments do not survive commodity price declines; operator inability to fund their WI share triggers JOA remedies</t>
  </si>
  <si>
    <t xml:space="preserve">Capital commitment letters; subscription agreements; JOA non-consent provisions; operator balance sheet; investor correspondence; escrow or trust account documentation</t>
  </si>
  <si>
    <t xml:space="preserve">Financial</t>
  </si>
  <si>
    <t xml:space="preserve">Confirm whether funding is committed (signed) or conditional. Distinguish escrow-funded programs from unfunded commitments. Non-consent penalties under the JOA are the backstop — document those provisions.</t>
  </si>
  <si>
    <t xml:space="preserve">Commodity Price Exposure
&amp; Hedging Position</t>
  </si>
  <si>
    <t xml:space="preserve">Revenue sensitivity to oil and natural gas price movements and the adequacy of the hedging program to protect project economics and debt service.</t>
  </si>
  <si>
    <t xml:space="preserve">Revenue mix (oil% vs. gas% vs. NGL%); hedged volumes and price floors (swaps/puts/collars); hedge tenor and coverage ratio (%NRI hedged); price sensitivity analysis (breakeven at $40/$50/$60 WTI); basis differential exposure (WTI vs. local pricing point)</t>
  </si>
  <si>
    <t xml:space="preserve">Unhedged production fully exposed to commodity price cycles; gas-heavy projects subject to natural gas price volatility and regional basis risk; sharp price declines trigger RBL borrowing base redeterminations</t>
  </si>
  <si>
    <t xml:space="preserve">Hedging schedule; swap/put/collar confirmation documents; NYMEX forward curve; local basis differential data (Platts, Argus); commodity price sensitivity model</t>
  </si>
  <si>
    <t xml:space="preserve">Financial / Market</t>
  </si>
  <si>
    <t xml:space="preserve">Evaluate oil vs. gas exposure and hedge coverage. Document breakeven analysis at multiple price scenarios. For gas-weighted projects, regional basis differential is a critical realized price risk — document historical basis vs. Henry Hub.</t>
  </si>
  <si>
    <t xml:space="preserve">Project Economics
&amp; Return Validity</t>
  </si>
  <si>
    <t xml:space="preserve">Internal rate of return, net present value, payback period, and breakeven price relative to basin benchmarks and capital type requirements.</t>
  </si>
  <si>
    <t xml:space="preserve">Before-tax and after-tax IRR at base case and P10/P50/P90 scenarios; NPV10 per dollar invested; breakeven price ($/BOE); payback period (months); sensitivity to ±20% production and ±$10/bbl price; capital efficiency ($/BOE of proved developed reserves added)</t>
  </si>
  <si>
    <t xml:space="preserve">Economics built on over-optimistic type curves fail to meet return thresholds; breakeven prices above $50/BOE indicate marginal economics in current environment; IRR sensitivity to commodity price shows inadequate hedge protection</t>
  </si>
  <si>
    <t xml:space="preserve">Operator economic model; independent reserve engineer model; IHS/Enverus type curve database for formation; SEC price deck for reserve valuation; comparable basin transaction multiples</t>
  </si>
  <si>
    <t xml:space="preserve">Compare economics against basin benchmarks. Require P90 downside scenario economics. Flag if breakeven price exceeds current strip by &gt;15%. Verify that type curve assumptions match area-specific production data, not basin-wide averages.</t>
  </si>
  <si>
    <t xml:space="preserve">  Infrastructure &amp; Market Risk
(Infrastructure, Integration &amp; Market Risk — IM)</t>
  </si>
  <si>
    <t xml:space="preserve">Takeaway Capacity
&amp; Pipeline Access</t>
  </si>
  <si>
    <t xml:space="preserve">Availability of sufficient pipeline takeaway capacity for produced oil, gas, and water relative to the planned production profile.</t>
  </si>
  <si>
    <t xml:space="preserve">Distance to nearest pipeline (miles); pipeline operator and ownership; contracted vs. interruptible capacity; existing gathering connection status; gathering agreement terms (MDQ, deficiency charges); pipeline capacity utilization; alternative trucking option and economics</t>
  </si>
  <si>
    <t xml:space="preserve">Insufficient takeaway capacity forces production curtailment; interruptible contracts are shut-in first; trucking is 3–5x more expensive than pipeline; gathering system constraints limit production ramp</t>
  </si>
  <si>
    <t xml:space="preserve">Pipeline operator capacity data; state commission pipeline maps; IHS pipeline database; FERC pipeline capacity reports; gathering agreement documents; EIA Natural Gas Pipeline data</t>
  </si>
  <si>
    <t xml:space="preserve">Infrastructure / Operational</t>
  </si>
  <si>
    <t xml:space="preserve">Projects far from pipelines (&gt;10 miles in tight areas) face material transport constraints. Confirm capacity availability — not just geographic proximity. Secured gathering agreement is a MDSC requirement for development-stage projects.</t>
  </si>
  <si>
    <t xml:space="preserve">Processing &amp; Gas Treatment
Availability</t>
  </si>
  <si>
    <t xml:space="preserve">Access to gas processing plants, oil gathering and treating systems, and NGL fractionation capacity relative to the produced fluid stream requirements.</t>
  </si>
  <si>
    <t xml:space="preserve">Distance to nearest processing plant; plant capacity utilization; NGL fractionation access; gas gathering compression requirement; H2S treating capacity (if sour); condensate stabilization; oil treating (dehydration, BS&amp;W); processing agreement terms</t>
  </si>
  <si>
    <t xml:space="preserve">Processing plant at capacity forces gas flaring or deferral; sour gas requires dedicated treating not widely available; NGL fractionation constraints reduce revenue realization; inadequate oil treating creates pipeline quality issues</t>
  </si>
  <si>
    <t xml:space="preserve">Midstream operator capacity reports; state oil and gas commission records; EIA gas processing survey; midstream company investor presentations; processing agreement documents</t>
  </si>
  <si>
    <t xml:space="preserve">Infrastructure / Technical</t>
  </si>
  <si>
    <t xml:space="preserve">Confirm availability and capacity of processing infrastructure before finalizing project economics. NGL recovery assumptions directly affect gas revenue — validate with current plant recovery factors.</t>
  </si>
  <si>
    <t xml:space="preserve">Market Access &amp;
Pricing Hub Connectivity</t>
  </si>
  <si>
    <t xml:space="preserve">Ability to access liquid trading hubs and competitive markets for produced oil and gas, and the geographic basis exposure resulting from the project's location.</t>
  </si>
  <si>
    <t xml:space="preserve">Distance to nearest liquid pricing hub (Cushing for oil; Henry Hub or major regional hubs for gas); transportation method and tariff to hub; firm vs. interruptible transport; marketing agreement status; local spot market depth</t>
  </si>
  <si>
    <t xml:space="preserve">Landlocked positions with limited pipeline connectivity receive distressed local pricing; thin local markets force sales at significant discounts; lack of firm transport results in price uncertainty</t>
  </si>
  <si>
    <t xml:space="preserve">FERC pipeline tariff filings; Platts/Argus regional pricing data; EIA petroleum terminal data; midstream operator marketing data; operator marketing agreements</t>
  </si>
  <si>
    <t xml:space="preserve">Market / Commercial</t>
  </si>
  <si>
    <t xml:space="preserve">Evaluate access to liquid markets. Projects in constrained basins (e.g., Permian during takeaway crises, Appalachian gas) face structural basis discounts. Document realized price vs. benchmark price for comparable wells in the area.</t>
  </si>
  <si>
    <t xml:space="preserve">Basis Differential Exposure
&amp; Realized Price Risk</t>
  </si>
  <si>
    <t xml:space="preserve">Exposure to regional price differentials between the local production area and benchmark pricing points, and the volatility of that differential.</t>
  </si>
  <si>
    <t xml:space="preserve">Historical basis differential (local price vs. WTI or Henry Hub, $/BBL or $/MMBTU); basis volatility (standard deviation of differential); contracted vs. floating basis; hedging of basis differential; NGL pricing realization (% of WTI or Mont Belvieu)</t>
  </si>
  <si>
    <t xml:space="preserve">Wide basis differential (&gt;$5/BBL or &gt;$1/MMBTU) materially erodes realized revenue; volatile basis creates cash flow uncertainty; Permian Waha gas basis can trade negative during oversupply events</t>
  </si>
  <si>
    <t xml:space="preserve">Platts/Argus historical differential data; CME/NYMEX basis swap quotes; operator realized price reports; EIA regional pricing surveys; midstream basis monitoring reports</t>
  </si>
  <si>
    <t xml:space="preserve">Market / Financial</t>
  </si>
  <si>
    <t xml:space="preserve">Large basis differentials can erode realized prices by 5–15% or more. Document historical 5-year average differential and volatility. Flag Waha gas basis as extreme risk in high-activity periods. Model P90 basis scenario in economic analysis.</t>
  </si>
  <si>
    <t xml:space="preserve">Operating Cost Sensitivity
&amp; LOE Benchmarking</t>
  </si>
  <si>
    <t xml:space="preserve">Sensitivity of project economics to lease operating expense (LOE) and field-level cost performance relative to basin benchmarks.</t>
  </si>
  <si>
    <t xml:space="preserve">LOE estimate ($/BOE) vs. basin benchmark; transportation and gathering cost ($/BOE); water disposal cost ($/BBL); workover and maintenance cost assumptions; fixed vs. variable cost split; LOE sensitivity at +20%/+40% cost scenarios</t>
  </si>
  <si>
    <t xml:space="preserve">LOE above basin median indicates operating inefficiency or high-cost infrastructure; rising water handling costs in unconventional plays erode economics; workover costs disproportionate to production rate signals artificial lift failure</t>
  </si>
  <si>
    <t xml:space="preserve">Operator historical LOE reports; state commission production and cost data; IHS/Enverus operating cost benchmarks by basin and formation; EIA financial performance data; comparable operator LOE reports</t>
  </si>
  <si>
    <t xml:space="preserve">Financial / Operational</t>
  </si>
  <si>
    <t xml:space="preserve">Assess sensitivity of project economics to operating cost changes. LOE &gt;$15/BOE for unconventional oil is elevated. Water handling is the fastest-growing LOE component in Permian and DJ basins — model sensitivity explicitly.</t>
  </si>
  <si>
    <t xml:space="preserve">TCA Upstream E&amp;P — Project Scoring Calculator</t>
  </si>
  <si>
    <t xml:space="preserve">Project Name:</t>
  </si>
  <si>
    <t xml:space="preserve">Enter project metadata in yellow cells. Project Stage selection determines the domain weights applied to the composite score. Basin/Formation and Well Type provide context for calibrating domain scores relative to basin benchmarks. All fields required under TCA RIA recordkeeping policy (SEC Rule 204-2).</t>
  </si>
  <si>
    <t xml:space="preserve">Operator:</t>
  </si>
  <si>
    <t xml:space="preserve">Assessment Date:</t>
  </si>
  <si>
    <t xml:space="preserve">Basin / Formation:</t>
  </si>
  <si>
    <t xml:space="preserve">Project Stage:</t>
  </si>
  <si>
    <t xml:space="preserve">Well Type (Vertical/Hz/Directional):</t>
  </si>
  <si>
    <t xml:space="preserve">Analyst:</t>
  </si>
  <si>
    <t xml:space="preserve">Reviewer:</t>
  </si>
  <si>
    <t xml:space="preserve">Assessment ID:</t>
  </si>
  <si>
    <t xml:space="preserve">Domain Score Input — Enter Domain Score (1.0–5.0) per Domain</t>
  </si>
  <si>
    <t xml:space="preserve">Domain (TCA Mapping)</t>
  </si>
  <si>
    <t xml:space="preserve">Code</t>
  </si>
  <si>
    <t xml:space="preserve">Virgin
Explor.</t>
  </si>
  <si>
    <t xml:space="preserve">Permitted
/Drill-Rdy</t>
  </si>
  <si>
    <t xml:space="preserve">Dev.
Program</t>
  </si>
  <si>
    <t xml:space="preserve">Producing
(PDP)</t>
  </si>
  <si>
    <t xml:space="preserve">Domain Score
(1.0–5.0)</t>
  </si>
  <si>
    <t xml:space="preserve">Wtd (Virg.)</t>
  </si>
  <si>
    <t xml:space="preserve">Wtd (Prosp.)</t>
  </si>
  <si>
    <t xml:space="preserve">Wtd (Perm.)</t>
  </si>
  <si>
    <t xml:space="preserve">Wtd (D&amp;T)</t>
  </si>
  <si>
    <t xml:space="preserve">Wtd (Dev.)</t>
  </si>
  <si>
    <t xml:space="preserve">Wtd (PDP)</t>
  </si>
  <si>
    <t xml:space="preserve">FR</t>
  </si>
  <si>
    <t xml:space="preserve">Technical &amp; Execution Risk</t>
  </si>
  <si>
    <t xml:space="preserve">TE</t>
  </si>
  <si>
    <t xml:space="preserve">Regulatory &amp; Environmental</t>
  </si>
  <si>
    <t xml:space="preserve">RE</t>
  </si>
  <si>
    <t xml:space="preserve">Commercial &amp; Financial Risk</t>
  </si>
  <si>
    <t xml:space="preserve">CF</t>
  </si>
  <si>
    <t xml:space="preserve">Infrastructure &amp; Market Risk</t>
  </si>
  <si>
    <t xml:space="preserve">IM</t>
  </si>
  <si>
    <t xml:space="preserve">Composite TCA Risk Score by Stage</t>
  </si>
  <si>
    <t xml:space="preserve">Permitted/Drill-Ready</t>
  </si>
  <si>
    <t xml:space="preserve">TCA Grade:  1.0–1.9 = TCA-A (Stable/PDP)  |  2.0–2.5 = TCA-B (Core/Dev)  |  2.6–3.2 = TCA-C (Opportunistic)  |  3.3–4.0 = TCA-D (High-Risk/Exploration)  |  &gt;4.0 = TCA-S (Speculative/Wildcat)</t>
  </si>
  <si>
    <t xml:space="preserve">⚠  RIA RECORDKEEPING NOTICE (SEC Rule 204-2):  This scoring record, including analyst inputs, domain weights applied, composite score, and evidence references, constitutes a research record of TokenCap Advisors LLC. It must be retained for a minimum of five (5) years in an immutable, reproducible format. Analyst and Reviewer fields above must be completed. Once approved, scores must not be altered without documented CRO authorization and version logging. R&amp;I produces the evaluative record; Risk applies independent scoring governance — these functions are structurally separated per TCA policy.</t>
  </si>
  <si>
    <t xml:space="preserve">TCA Upstream E&amp;P Risk Framework  |  Audit &amp; RIA Compliance Log</t>
  </si>
  <si>
    <t xml:space="preserve">This log records all assessment activities performed using this framework. It constitutes a Books &amp; Records artifact under SEC Rule 204-2 (17 CFR § 275.204-2). Entries must be made contemporaneously with the assessment. Records must be retained for a minimum of five (5) years in an immutable, reproducible format accessible to regulators upon request. Alteration of completed entries is prohibited. R&amp;I/Risk functional separation must be documented in the Reviewer field.</t>
  </si>
  <si>
    <t xml:space="preserve">Log
#</t>
  </si>
  <si>
    <t xml:space="preserve">Assessment ID
(VOR Reference)</t>
  </si>
  <si>
    <t xml:space="preserve">Project Name /
Operator</t>
  </si>
  <si>
    <t xml:space="preserve">Assessment
Date</t>
  </si>
  <si>
    <t xml:space="preserve">R&amp;I Analyst
(Name/ID)</t>
  </si>
  <si>
    <t xml:space="preserve">Risk Reviewer
(Name/ID)</t>
  </si>
  <si>
    <t xml:space="preserve">Approval
Date</t>
  </si>
  <si>
    <t xml:space="preserve">Project Stage
Applied</t>
  </si>
  <si>
    <t xml:space="preserve">Basin /
Formation</t>
  </si>
  <si>
    <t xml:space="preserve">Composite
Score</t>
  </si>
  <si>
    <t xml:space="preserve">TCA
Grade</t>
  </si>
  <si>
    <t xml:space="preserve">Evidence Ref &amp;
Record Location</t>
  </si>
  <si>
    <t xml:space="preserve">Methodology Version Control Log</t>
  </si>
  <si>
    <t xml:space="preserve">Version</t>
  </si>
  <si>
    <t xml:space="preserve">Effective Date</t>
  </si>
  <si>
    <t xml:space="preserve">Change Description</t>
  </si>
  <si>
    <t xml:space="preserve">Approved By</t>
  </si>
  <si>
    <t xml:space="preserve">CRO Sign Date</t>
  </si>
  <si>
    <t xml:space="preserve">2026</t>
  </si>
  <si>
    <t xml:space="preserve">Initial release — TCA Intelligence Framework E&amp;P Upstream</t>
  </si>
  <si>
    <t xml:space="preserve">CRO</t>
  </si>
  <si>
    <t xml:space="preserve">[Date]</t>
  </si>
</sst>
</file>

<file path=xl/styles.xml><?xml version="1.0" encoding="utf-8"?>
<styleSheet xmlns="http://schemas.openxmlformats.org/spreadsheetml/2006/main">
  <numFmts count="3">
    <numFmt numFmtId="164" formatCode="General"/>
    <numFmt numFmtId="165" formatCode="0%"/>
    <numFmt numFmtId="166" formatCode="0.00"/>
  </numFmts>
  <fonts count="32">
    <font>
      <sz val="11"/>
      <color theme="1"/>
      <name val="Calibri"/>
      <family val="2"/>
      <charset val="1"/>
    </font>
    <font>
      <sz val="10"/>
      <name val="Arial"/>
      <family val="0"/>
    </font>
    <font>
      <sz val="10"/>
      <name val="Arial"/>
      <family val="0"/>
    </font>
    <font>
      <sz val="10"/>
      <name val="Arial"/>
      <family val="0"/>
    </font>
    <font>
      <b val="true"/>
      <sz val="16"/>
      <color rgb="FFC9A84C"/>
      <name val="Arial"/>
      <family val="0"/>
      <charset val="1"/>
    </font>
    <font>
      <b val="true"/>
      <sz val="13"/>
      <color rgb="FFFFFFFF"/>
      <name val="Arial"/>
      <family val="0"/>
      <charset val="1"/>
    </font>
    <font>
      <sz val="9"/>
      <color rgb="FF7F7F7F"/>
      <name val="Arial"/>
      <family val="0"/>
      <charset val="1"/>
    </font>
    <font>
      <b val="true"/>
      <sz val="10"/>
      <color rgb="FF1F2D54"/>
      <name val="Arial"/>
      <family val="0"/>
      <charset val="1"/>
    </font>
    <font>
      <sz val="9"/>
      <color rgb="FF404040"/>
      <name val="Arial"/>
      <family val="0"/>
      <charset val="1"/>
    </font>
    <font>
      <b val="true"/>
      <sz val="9"/>
      <color rgb="FF1F2D54"/>
      <name val="Arial"/>
      <family val="0"/>
      <charset val="1"/>
    </font>
    <font>
      <b val="true"/>
      <sz val="9"/>
      <color rgb="FFFFFFFF"/>
      <name val="Arial"/>
      <family val="0"/>
      <charset val="1"/>
    </font>
    <font>
      <sz val="9"/>
      <color rgb="FF1F2D54"/>
      <name val="Arial"/>
      <family val="0"/>
      <charset val="1"/>
    </font>
    <font>
      <sz val="8"/>
      <color rgb="FFC00000"/>
      <name val="Arial"/>
      <family val="0"/>
      <charset val="1"/>
    </font>
    <font>
      <b val="true"/>
      <sz val="8"/>
      <color rgb="FFFFFFFF"/>
      <name val="Arial"/>
      <family val="0"/>
      <charset val="1"/>
    </font>
    <font>
      <sz val="8"/>
      <color rgb="FF1F2D54"/>
      <name val="Arial"/>
      <family val="0"/>
      <charset val="1"/>
    </font>
    <font>
      <sz val="8"/>
      <color rgb="FF404040"/>
      <name val="Arial"/>
      <family val="0"/>
      <charset val="1"/>
    </font>
    <font>
      <b val="true"/>
      <sz val="12"/>
      <color rgb="FFFFFFFF"/>
      <name val="Arial"/>
      <family val="0"/>
      <charset val="1"/>
    </font>
    <font>
      <i val="true"/>
      <sz val="8"/>
      <color rgb="FF7F7F7F"/>
      <name val="Arial"/>
      <family val="0"/>
      <charset val="1"/>
    </font>
    <font>
      <b val="true"/>
      <sz val="9"/>
      <color rgb="FF404040"/>
      <name val="Arial"/>
      <family val="0"/>
      <charset val="1"/>
    </font>
    <font>
      <sz val="9"/>
      <color rgb="FF0000FF"/>
      <name val="Arial"/>
      <family val="0"/>
      <charset val="1"/>
    </font>
    <font>
      <i val="true"/>
      <sz val="8"/>
      <color rgb="FFC9A84C"/>
      <name val="Arial"/>
      <family val="0"/>
      <charset val="1"/>
    </font>
    <font>
      <sz val="7.5"/>
      <color rgb="FFFFFFFF"/>
      <name val="Arial"/>
      <family val="0"/>
      <charset val="1"/>
    </font>
    <font>
      <b val="true"/>
      <sz val="10"/>
      <color rgb="FFFFFFFF"/>
      <name val="Arial"/>
      <family val="0"/>
      <charset val="1"/>
    </font>
    <font>
      <sz val="9"/>
      <color rgb="FF000000"/>
      <name val="Arial"/>
      <family val="0"/>
      <charset val="1"/>
    </font>
    <font>
      <i val="true"/>
      <sz val="7"/>
      <color rgb="FF7F7F7F"/>
      <name val="Arial"/>
      <family val="0"/>
      <charset val="1"/>
    </font>
    <font>
      <b val="true"/>
      <sz val="7"/>
      <color rgb="FFFFFFFF"/>
      <name val="Arial"/>
      <family val="0"/>
      <charset val="1"/>
    </font>
    <font>
      <sz val="8"/>
      <color rgb="FF0000FF"/>
      <name val="Arial"/>
      <family val="0"/>
      <charset val="1"/>
    </font>
    <font>
      <b val="true"/>
      <sz val="10"/>
      <color rgb="FF0000FF"/>
      <name val="Arial"/>
      <family val="0"/>
      <charset val="1"/>
    </font>
    <font>
      <sz val="8"/>
      <color rgb="FF000000"/>
      <name val="Arial"/>
      <family val="0"/>
      <charset val="1"/>
    </font>
    <font>
      <b val="true"/>
      <sz val="11"/>
      <color rgb="FF1F2D54"/>
      <name val="Arial"/>
      <family val="0"/>
      <charset val="1"/>
    </font>
    <font>
      <i val="true"/>
      <sz val="7.5"/>
      <color rgb="FF7F7F7F"/>
      <name val="Arial"/>
      <family val="0"/>
      <charset val="1"/>
    </font>
    <font>
      <i val="true"/>
      <sz val="8"/>
      <color rgb="FFC00000"/>
      <name val="Arial"/>
      <family val="0"/>
      <charset val="1"/>
    </font>
  </fonts>
  <fills count="14">
    <fill>
      <patternFill patternType="none"/>
    </fill>
    <fill>
      <patternFill patternType="gray125"/>
    </fill>
    <fill>
      <patternFill patternType="solid">
        <fgColor rgb="FF1F2D54"/>
        <bgColor rgb="FF404040"/>
      </patternFill>
    </fill>
    <fill>
      <patternFill patternType="solid">
        <fgColor rgb="FFF2F2F2"/>
        <bgColor rgb="FFEDE7F6"/>
      </patternFill>
    </fill>
    <fill>
      <patternFill patternType="solid">
        <fgColor rgb="FFFFFFFF"/>
        <bgColor rgb="FFF2F2F2"/>
      </patternFill>
    </fill>
    <fill>
      <patternFill patternType="solid">
        <fgColor rgb="FF1F4E79"/>
        <bgColor rgb="FF1F2D54"/>
      </patternFill>
    </fill>
    <fill>
      <patternFill patternType="solid">
        <fgColor rgb="FFDEEAF1"/>
        <bgColor rgb="FFEDE7F6"/>
      </patternFill>
    </fill>
    <fill>
      <patternFill patternType="solid">
        <fgColor rgb="FFE2EFDA"/>
        <bgColor rgb="FFDEEAF1"/>
      </patternFill>
    </fill>
    <fill>
      <patternFill patternType="solid">
        <fgColor rgb="FFFFF2CC"/>
        <bgColor rgb="FFFFFACD"/>
      </patternFill>
    </fill>
    <fill>
      <patternFill patternType="solid">
        <fgColor rgb="FFFCE4D6"/>
        <bgColor rgb="FFFFF2CC"/>
      </patternFill>
    </fill>
    <fill>
      <patternFill patternType="solid">
        <fgColor rgb="FFEDE7F6"/>
        <bgColor rgb="FFDEEAF1"/>
      </patternFill>
    </fill>
    <fill>
      <patternFill patternType="solid">
        <fgColor rgb="FF404040"/>
        <bgColor rgb="FF1F2D54"/>
      </patternFill>
    </fill>
    <fill>
      <patternFill patternType="solid">
        <fgColor rgb="FFFFFACD"/>
        <bgColor rgb="FFFFF2CC"/>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2" borderId="0" xfId="0" applyFont="true" applyBorder="false" applyAlignment="true" applyProtection="false">
      <alignment horizontal="left" vertical="center" textRotation="0" wrapText="true" indent="0" shrinkToFit="false"/>
      <protection locked="true" hidden="false"/>
    </xf>
    <xf numFmtId="164" fontId="11" fillId="3"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5" fontId="19" fillId="6" borderId="1" xfId="0" applyFont="true" applyBorder="true" applyAlignment="true" applyProtection="false">
      <alignment horizontal="center" vertical="center" textRotation="0" wrapText="false" indent="0" shrinkToFit="false"/>
      <protection locked="true" hidden="false"/>
    </xf>
    <xf numFmtId="164" fontId="17" fillId="3" borderId="1" xfId="0" applyFont="true" applyBorder="true" applyAlignment="true" applyProtection="false">
      <alignment horizontal="left" vertical="center" textRotation="0" wrapText="true" indent="0" shrinkToFit="false"/>
      <protection locked="true" hidden="false"/>
    </xf>
    <xf numFmtId="164" fontId="18" fillId="7" borderId="1" xfId="0" applyFont="true" applyBorder="true" applyAlignment="true" applyProtection="false">
      <alignment horizontal="left" vertical="center" textRotation="0" wrapText="true" indent="0" shrinkToFit="false"/>
      <protection locked="true" hidden="false"/>
    </xf>
    <xf numFmtId="165" fontId="19" fillId="7" borderId="1"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left" vertical="center" textRotation="0" wrapText="true" indent="0" shrinkToFit="false"/>
      <protection locked="true" hidden="false"/>
    </xf>
    <xf numFmtId="165" fontId="19" fillId="8" borderId="1" xfId="0" applyFont="true" applyBorder="true" applyAlignment="true" applyProtection="false">
      <alignment horizontal="center" vertical="center" textRotation="0" wrapText="fals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xf numFmtId="165" fontId="19" fillId="9" borderId="1" xfId="0" applyFont="true" applyBorder="true" applyAlignment="true" applyProtection="false">
      <alignment horizontal="center" vertical="center" textRotation="0" wrapText="false" indent="0" shrinkToFit="false"/>
      <protection locked="true" hidden="false"/>
    </xf>
    <xf numFmtId="164" fontId="18" fillId="10" borderId="1" xfId="0" applyFont="true" applyBorder="true" applyAlignment="true" applyProtection="false">
      <alignment horizontal="left" vertical="center" textRotation="0" wrapText="true" indent="0" shrinkToFit="false"/>
      <protection locked="true" hidden="false"/>
    </xf>
    <xf numFmtId="165" fontId="19" fillId="1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18" fillId="3" borderId="1" xfId="0" applyFont="true" applyBorder="true" applyAlignment="true" applyProtection="false">
      <alignment horizontal="center" vertical="bottom"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21" fillId="11" borderId="0" xfId="0" applyFont="true" applyBorder="true" applyAlignment="true" applyProtection="false">
      <alignment horizontal="left" vertical="center" textRotation="0" wrapText="true" indent="0" shrinkToFit="false"/>
      <protection locked="true" hidden="false"/>
    </xf>
    <xf numFmtId="164" fontId="22" fillId="2" borderId="2"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19" fillId="12" borderId="1" xfId="0" applyFont="true" applyBorder="true" applyAlignment="true" applyProtection="false">
      <alignment horizontal="center" vertical="center" textRotation="0" wrapText="false" indent="0" shrinkToFit="false"/>
      <protection locked="true" hidden="false"/>
    </xf>
    <xf numFmtId="164" fontId="23" fillId="6" borderId="1"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23" fillId="7"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left" vertical="top" textRotation="0" wrapText="true" indent="0" shrinkToFit="false"/>
      <protection locked="true" hidden="false"/>
    </xf>
    <xf numFmtId="164" fontId="23" fillId="8"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left" vertical="top" textRotation="0" wrapText="true" indent="0" shrinkToFit="false"/>
      <protection locked="true" hidden="false"/>
    </xf>
    <xf numFmtId="164" fontId="23" fillId="9"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left" vertical="top" textRotation="0" wrapText="true" indent="0" shrinkToFit="false"/>
      <protection locked="true" hidden="false"/>
    </xf>
    <xf numFmtId="164" fontId="23" fillId="1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center" textRotation="0" wrapText="true" indent="0" shrinkToFit="false"/>
      <protection locked="true" hidden="false"/>
    </xf>
    <xf numFmtId="164" fontId="22" fillId="5" borderId="0" xfId="0" applyFont="true" applyBorder="true" applyAlignment="true" applyProtection="false">
      <alignment horizontal="center" vertical="bottom" textRotation="0" wrapText="false" indent="0" shrinkToFit="false"/>
      <protection locked="true" hidden="false"/>
    </xf>
    <xf numFmtId="164" fontId="25" fillId="11"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5" fontId="26" fillId="6" borderId="1" xfId="0" applyFont="true" applyBorder="true" applyAlignment="true" applyProtection="false">
      <alignment horizontal="center" vertical="bottom" textRotation="0" wrapText="false" indent="0" shrinkToFit="false"/>
      <protection locked="true" hidden="false"/>
    </xf>
    <xf numFmtId="164" fontId="27" fillId="13" borderId="1" xfId="0" applyFont="true" applyBorder="true" applyAlignment="true" applyProtection="false">
      <alignment horizontal="center" vertical="center" textRotation="0" wrapText="false" indent="0" shrinkToFit="false"/>
      <protection locked="true" hidden="false"/>
    </xf>
    <xf numFmtId="166" fontId="28" fillId="6" borderId="1" xfId="0" applyFont="true" applyBorder="true" applyAlignment="true" applyProtection="false">
      <alignment horizontal="center" vertical="bottom" textRotation="0" wrapText="fals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5" fontId="26" fillId="7" borderId="1" xfId="0" applyFont="true" applyBorder="true" applyAlignment="true" applyProtection="false">
      <alignment horizontal="center" vertical="bottom" textRotation="0" wrapText="false" indent="0" shrinkToFit="false"/>
      <protection locked="true" hidden="false"/>
    </xf>
    <xf numFmtId="166" fontId="28" fillId="7"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8" fillId="8" borderId="1" xfId="0" applyFont="true" applyBorder="true" applyAlignment="true" applyProtection="false">
      <alignment horizontal="center" vertical="bottom" textRotation="0" wrapText="false" indent="0" shrinkToFit="false"/>
      <protection locked="true" hidden="false"/>
    </xf>
    <xf numFmtId="165" fontId="26" fillId="8" borderId="1" xfId="0" applyFont="true" applyBorder="true" applyAlignment="true" applyProtection="false">
      <alignment horizontal="center" vertical="bottom" textRotation="0" wrapText="false" indent="0" shrinkToFit="false"/>
      <protection locked="true" hidden="false"/>
    </xf>
    <xf numFmtId="166" fontId="28" fillId="8" borderId="1" xfId="0" applyFont="true" applyBorder="true" applyAlignment="true" applyProtection="false">
      <alignment horizontal="center" vertical="bottom" textRotation="0" wrapText="false" indent="0" shrinkToFit="false"/>
      <protection locked="true" hidden="false"/>
    </xf>
    <xf numFmtId="164" fontId="9" fillId="9" borderId="1" xfId="0" applyFont="true" applyBorder="true" applyAlignment="true" applyProtection="false">
      <alignment horizontal="left" vertical="center" textRotation="0" wrapText="false" indent="0" shrinkToFit="false"/>
      <protection locked="true" hidden="false"/>
    </xf>
    <xf numFmtId="164" fontId="8" fillId="9" borderId="1" xfId="0" applyFont="true" applyBorder="true" applyAlignment="true" applyProtection="false">
      <alignment horizontal="center" vertical="bottom" textRotation="0" wrapText="false" indent="0" shrinkToFit="false"/>
      <protection locked="true" hidden="false"/>
    </xf>
    <xf numFmtId="165" fontId="26" fillId="9" borderId="1" xfId="0" applyFont="true" applyBorder="true" applyAlignment="true" applyProtection="false">
      <alignment horizontal="center" vertical="bottom" textRotation="0" wrapText="false" indent="0" shrinkToFit="false"/>
      <protection locked="true" hidden="false"/>
    </xf>
    <xf numFmtId="166" fontId="28" fillId="9" borderId="1" xfId="0" applyFont="true" applyBorder="true" applyAlignment="true" applyProtection="false">
      <alignment horizontal="center" vertical="bottom" textRotation="0" wrapText="false" indent="0" shrinkToFit="false"/>
      <protection locked="true" hidden="false"/>
    </xf>
    <xf numFmtId="164" fontId="9" fillId="10" borderId="1" xfId="0" applyFont="true" applyBorder="true" applyAlignment="true" applyProtection="false">
      <alignment horizontal="left" vertical="center" textRotation="0" wrapText="false" indent="0" shrinkToFit="false"/>
      <protection locked="true" hidden="false"/>
    </xf>
    <xf numFmtId="164" fontId="8" fillId="10" borderId="1" xfId="0" applyFont="true" applyBorder="true" applyAlignment="true" applyProtection="false">
      <alignment horizontal="center" vertical="bottom" textRotation="0" wrapText="false" indent="0" shrinkToFit="false"/>
      <protection locked="true" hidden="false"/>
    </xf>
    <xf numFmtId="165" fontId="26" fillId="10" borderId="1" xfId="0" applyFont="true" applyBorder="true" applyAlignment="true" applyProtection="false">
      <alignment horizontal="center" vertical="bottom" textRotation="0" wrapText="false" indent="0" shrinkToFit="false"/>
      <protection locked="true" hidden="false"/>
    </xf>
    <xf numFmtId="166" fontId="28" fillId="10" borderId="1" xfId="0" applyFont="true" applyBorder="true" applyAlignment="true" applyProtection="false">
      <alignment horizontal="center" vertical="bottom" textRotation="0" wrapText="false" indent="0" shrinkToFit="false"/>
      <protection locked="true" hidden="false"/>
    </xf>
    <xf numFmtId="164" fontId="22" fillId="2" borderId="0" xfId="0" applyFont="true" applyBorder="true" applyAlignment="true" applyProtection="false">
      <alignment horizontal="center" vertical="center" textRotation="0" wrapText="false" indent="0" shrinkToFit="false"/>
      <protection locked="true" hidden="false"/>
    </xf>
    <xf numFmtId="166" fontId="29" fillId="3" borderId="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6" fillId="3" borderId="1" xfId="0" applyFont="true" applyBorder="true" applyAlignment="false" applyProtection="false">
      <alignment horizontal="general" vertical="bottom" textRotation="0" wrapText="false" indent="0" shrinkToFit="false"/>
      <protection locked="true" hidden="false"/>
    </xf>
    <xf numFmtId="164" fontId="26" fillId="4" borderId="1" xfId="0" applyFont="true" applyBorder="true" applyAlignment="false" applyProtection="false">
      <alignment horizontal="general" vertical="bottom" textRotation="0" wrapText="false" indent="0" shrinkToFit="false"/>
      <protection locked="true" hidden="false"/>
    </xf>
    <xf numFmtId="164" fontId="22" fillId="11" borderId="0" xfId="0" applyFont="true" applyBorder="true" applyAlignment="true" applyProtection="false">
      <alignment horizontal="center" vertical="bottom" textRotation="0" wrapText="false" indent="0" shrinkToFit="false"/>
      <protection locked="true" hidden="false"/>
    </xf>
    <xf numFmtId="164" fontId="13" fillId="11" borderId="1" xfId="0" applyFont="true" applyBorder="true" applyAlignment="true" applyProtection="false">
      <alignment horizontal="center" vertical="bottom" textRotation="0" wrapText="true" indent="0" shrinkToFit="false"/>
      <protection locked="true" hidden="false"/>
    </xf>
    <xf numFmtId="164" fontId="15"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ACD"/>
      <rgbColor rgb="FFDEEAF1"/>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F2F2F2"/>
      <rgbColor rgb="FFE2EFDA"/>
      <rgbColor rgb="FFFFF2CC"/>
      <rgbColor rgb="FF99CCFF"/>
      <rgbColor rgb="FFFF99CC"/>
      <rgbColor rgb="FFCC99FF"/>
      <rgbColor rgb="FFFCE4D6"/>
      <rgbColor rgb="FF3366FF"/>
      <rgbColor rgb="FF33CCCC"/>
      <rgbColor rgb="FF99CC00"/>
      <rgbColor rgb="FFFFCC00"/>
      <rgbColor rgb="FFFF9900"/>
      <rgbColor rgb="FFFF6600"/>
      <rgbColor rgb="FF666699"/>
      <rgbColor rgb="FFC9A84C"/>
      <rgbColor rgb="FF1F2D54"/>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8"/>
    <col collapsed="false" customWidth="true" hidden="false" outlineLevel="0" max="3" min="3" style="0" width="32"/>
    <col collapsed="false" customWidth="true" hidden="false" outlineLevel="0" max="4" min="4" style="0" width="30"/>
    <col collapsed="false" customWidth="true" hidden="false" outlineLevel="0" max="5" min="5" style="0" width="22"/>
  </cols>
  <sheetData>
    <row r="1" customFormat="false" ht="15" hidden="false" customHeight="false" outlineLevel="0" collapsed="false">
      <c r="A1" s="1"/>
      <c r="B1" s="1"/>
      <c r="C1" s="1"/>
    </row>
    <row r="2" customFormat="false" ht="15" hidden="false" customHeight="false" outlineLevel="0" collapsed="false">
      <c r="A2" s="1"/>
      <c r="B2" s="1"/>
      <c r="C2" s="1"/>
    </row>
    <row r="3" customFormat="false" ht="27.75" hidden="false" customHeight="true" outlineLevel="0" collapsed="false">
      <c r="A3" s="1"/>
      <c r="B3" s="2" t="s">
        <v>0</v>
      </c>
      <c r="C3" s="1"/>
    </row>
    <row r="4" customFormat="false" ht="16.15" hidden="false" customHeight="false" outlineLevel="0" collapsed="false">
      <c r="A4" s="1"/>
      <c r="B4" s="3" t="s">
        <v>1</v>
      </c>
      <c r="C4" s="1"/>
    </row>
    <row r="5" customFormat="false" ht="15" hidden="false" customHeight="false" outlineLevel="0" collapsed="false">
      <c r="A5" s="1"/>
      <c r="B5" s="4" t="s">
        <v>2</v>
      </c>
      <c r="C5" s="1"/>
    </row>
    <row r="6" customFormat="false" ht="15" hidden="false" customHeight="false" outlineLevel="0" collapsed="false">
      <c r="A6" s="1"/>
      <c r="B6" s="1"/>
      <c r="C6" s="1"/>
    </row>
    <row r="8" customFormat="false" ht="15" hidden="false" customHeight="false" outlineLevel="0" collapsed="false">
      <c r="B8" s="5" t="s">
        <v>3</v>
      </c>
    </row>
    <row r="9" customFormat="false" ht="116.4" hidden="false" customHeight="false" outlineLevel="0" collapsed="false">
      <c r="B9" s="6" t="s">
        <v>4</v>
      </c>
    </row>
    <row r="12" customFormat="false" ht="18" hidden="false" customHeight="true" outlineLevel="0" collapsed="false">
      <c r="B12" s="7" t="s">
        <v>5</v>
      </c>
      <c r="C12" s="6" t="s">
        <v>6</v>
      </c>
    </row>
    <row r="13" customFormat="false" ht="18" hidden="false" customHeight="true" outlineLevel="0" collapsed="false">
      <c r="B13" s="7" t="s">
        <v>7</v>
      </c>
      <c r="C13" s="6" t="s">
        <v>8</v>
      </c>
    </row>
    <row r="14" customFormat="false" ht="18" hidden="false" customHeight="true" outlineLevel="0" collapsed="false">
      <c r="B14" s="7" t="s">
        <v>9</v>
      </c>
      <c r="C14" s="6" t="s">
        <v>10</v>
      </c>
    </row>
    <row r="15" customFormat="false" ht="18" hidden="false" customHeight="true" outlineLevel="0" collapsed="false">
      <c r="B15" s="7" t="s">
        <v>11</v>
      </c>
      <c r="C15" s="6" t="s">
        <v>12</v>
      </c>
    </row>
    <row r="16" customFormat="false" ht="18" hidden="false" customHeight="true" outlineLevel="0" collapsed="false">
      <c r="B16" s="7" t="s">
        <v>13</v>
      </c>
      <c r="C16" s="6" t="s">
        <v>14</v>
      </c>
    </row>
    <row r="17" customFormat="false" ht="18" hidden="false" customHeight="true" outlineLevel="0" collapsed="false">
      <c r="B17" s="7" t="s">
        <v>15</v>
      </c>
      <c r="C17" s="6" t="s">
        <v>16</v>
      </c>
    </row>
    <row r="18" customFormat="false" ht="18" hidden="false" customHeight="true" outlineLevel="0" collapsed="false">
      <c r="B18" s="7" t="s">
        <v>17</v>
      </c>
      <c r="C18" s="6" t="s">
        <v>18</v>
      </c>
    </row>
    <row r="19" customFormat="false" ht="18" hidden="false" customHeight="true" outlineLevel="0" collapsed="false">
      <c r="B19" s="7" t="s">
        <v>19</v>
      </c>
      <c r="C19" s="6" t="s">
        <v>20</v>
      </c>
    </row>
    <row r="22" customFormat="false" ht="15" hidden="false" customHeight="false" outlineLevel="0" collapsed="false">
      <c r="B22" s="5" t="s">
        <v>21</v>
      </c>
    </row>
    <row r="23" customFormat="false" ht="18" hidden="false" customHeight="true" outlineLevel="0" collapsed="false">
      <c r="B23" s="8" t="s">
        <v>22</v>
      </c>
      <c r="C23" s="8" t="s">
        <v>23</v>
      </c>
    </row>
    <row r="24" customFormat="false" ht="18" hidden="false" customHeight="true" outlineLevel="0" collapsed="false">
      <c r="B24" s="9" t="s">
        <v>24</v>
      </c>
      <c r="C24" s="10" t="s">
        <v>25</v>
      </c>
    </row>
    <row r="25" customFormat="false" ht="18" hidden="false" customHeight="true" outlineLevel="0" collapsed="false">
      <c r="B25" s="9" t="s">
        <v>26</v>
      </c>
      <c r="C25" s="10" t="s">
        <v>27</v>
      </c>
    </row>
    <row r="26" customFormat="false" ht="18" hidden="false" customHeight="true" outlineLevel="0" collapsed="false">
      <c r="B26" s="9" t="s">
        <v>28</v>
      </c>
      <c r="C26" s="10" t="s">
        <v>29</v>
      </c>
    </row>
    <row r="27" customFormat="false" ht="18" hidden="false" customHeight="true" outlineLevel="0" collapsed="false">
      <c r="B27" s="9" t="s">
        <v>30</v>
      </c>
      <c r="C27" s="10" t="s">
        <v>31</v>
      </c>
    </row>
    <row r="28" customFormat="false" ht="18" hidden="false" customHeight="true" outlineLevel="0" collapsed="false">
      <c r="B28" s="9" t="s">
        <v>32</v>
      </c>
      <c r="C28" s="10" t="s">
        <v>33</v>
      </c>
    </row>
    <row r="31" customFormat="false" ht="37.3" hidden="false" customHeight="false" outlineLevel="0" collapsed="false">
      <c r="B31" s="11" t="s">
        <v>34</v>
      </c>
    </row>
    <row r="34" customFormat="false" ht="15" hidden="false" customHeight="false" outlineLevel="0" collapsed="false">
      <c r="B34" s="7" t="s">
        <v>35</v>
      </c>
    </row>
    <row r="35" customFormat="false" ht="18" hidden="false" customHeight="true" outlineLevel="0" collapsed="false">
      <c r="B35" s="12" t="s">
        <v>36</v>
      </c>
      <c r="C35" s="12" t="s">
        <v>37</v>
      </c>
      <c r="D35" s="12" t="s">
        <v>38</v>
      </c>
      <c r="E35" s="12" t="s">
        <v>39</v>
      </c>
    </row>
    <row r="36" customFormat="false" ht="18" hidden="false" customHeight="true" outlineLevel="0" collapsed="false">
      <c r="B36" s="13" t="s">
        <v>40</v>
      </c>
      <c r="C36" s="14" t="s">
        <v>41</v>
      </c>
      <c r="D36" s="14" t="s">
        <v>42</v>
      </c>
      <c r="E36" s="14" t="s">
        <v>43</v>
      </c>
    </row>
    <row r="37" customFormat="false" ht="18" hidden="false" customHeight="true" outlineLevel="0" collapsed="false">
      <c r="B37" s="15" t="s">
        <v>44</v>
      </c>
      <c r="C37" s="16" t="s">
        <v>45</v>
      </c>
      <c r="D37" s="16" t="s">
        <v>46</v>
      </c>
      <c r="E37" s="16" t="s">
        <v>47</v>
      </c>
    </row>
    <row r="38" customFormat="false" ht="18" hidden="false" customHeight="true" outlineLevel="0" collapsed="false">
      <c r="B38" s="13" t="s">
        <v>48</v>
      </c>
      <c r="C38" s="14" t="s">
        <v>49</v>
      </c>
      <c r="D38" s="14" t="s">
        <v>50</v>
      </c>
      <c r="E38" s="14" t="s">
        <v>51</v>
      </c>
    </row>
    <row r="39" customFormat="false" ht="18" hidden="false" customHeight="true" outlineLevel="0" collapsed="false">
      <c r="B39" s="15" t="s">
        <v>52</v>
      </c>
      <c r="C39" s="16" t="s">
        <v>53</v>
      </c>
      <c r="D39" s="16" t="s">
        <v>54</v>
      </c>
      <c r="E39" s="16" t="s">
        <v>55</v>
      </c>
    </row>
    <row r="40" customFormat="false" ht="18" hidden="false" customHeight="true" outlineLevel="0" collapsed="false">
      <c r="B40" s="13" t="s">
        <v>56</v>
      </c>
      <c r="C40" s="14" t="s">
        <v>57</v>
      </c>
      <c r="D40" s="14" t="s">
        <v>58</v>
      </c>
      <c r="E40" s="14" t="s">
        <v>59</v>
      </c>
    </row>
    <row r="41" customFormat="false" ht="18" hidden="false" customHeight="true" outlineLevel="0" collapsed="false">
      <c r="B41" s="15" t="s">
        <v>60</v>
      </c>
      <c r="C41" s="16" t="s">
        <v>61</v>
      </c>
      <c r="D41" s="16" t="s">
        <v>62</v>
      </c>
      <c r="E41" s="16"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8" min="3" style="0" width="13"/>
    <col collapsed="false" customWidth="true" hidden="false" outlineLevel="0" max="9" min="9" style="0" width="46"/>
  </cols>
  <sheetData>
    <row r="2" customFormat="false" ht="25.5" hidden="false" customHeight="true" outlineLevel="0" collapsed="false">
      <c r="B2" s="17" t="s">
        <v>64</v>
      </c>
      <c r="C2" s="17"/>
      <c r="D2" s="17"/>
      <c r="E2" s="17"/>
      <c r="F2" s="17"/>
      <c r="G2" s="17"/>
      <c r="H2" s="17"/>
      <c r="I2" s="17"/>
    </row>
    <row r="3" customFormat="false" ht="31.5" hidden="false" customHeight="true" outlineLevel="0" collapsed="false">
      <c r="B3" s="18" t="s">
        <v>65</v>
      </c>
      <c r="C3" s="18"/>
      <c r="D3" s="18"/>
      <c r="E3" s="18"/>
      <c r="F3" s="18"/>
      <c r="G3" s="18"/>
      <c r="H3" s="18"/>
      <c r="I3" s="18"/>
    </row>
    <row r="5" customFormat="false" ht="43.5" hidden="false" customHeight="true" outlineLevel="0" collapsed="false">
      <c r="B5" s="19" t="s">
        <v>66</v>
      </c>
      <c r="C5" s="19" t="s">
        <v>67</v>
      </c>
      <c r="D5" s="19" t="s">
        <v>68</v>
      </c>
      <c r="E5" s="19" t="s">
        <v>69</v>
      </c>
      <c r="F5" s="19" t="s">
        <v>70</v>
      </c>
      <c r="G5" s="19" t="s">
        <v>71</v>
      </c>
      <c r="H5" s="19" t="s">
        <v>72</v>
      </c>
      <c r="I5" s="19" t="s">
        <v>73</v>
      </c>
    </row>
    <row r="6" customFormat="false" ht="43.5" hidden="false" customHeight="true" outlineLevel="0" collapsed="false">
      <c r="B6" s="20" t="s">
        <v>74</v>
      </c>
      <c r="C6" s="21" t="n">
        <v>0.4</v>
      </c>
      <c r="D6" s="21" t="n">
        <v>0.35</v>
      </c>
      <c r="E6" s="21" t="n">
        <v>0.25</v>
      </c>
      <c r="F6" s="21" t="n">
        <v>0.2</v>
      </c>
      <c r="G6" s="21" t="n">
        <v>0.15</v>
      </c>
      <c r="H6" s="21" t="n">
        <v>0.05</v>
      </c>
      <c r="I6" s="22" t="s">
        <v>75</v>
      </c>
    </row>
    <row r="7" customFormat="false" ht="43.5" hidden="false" customHeight="true" outlineLevel="0" collapsed="false">
      <c r="B7" s="23" t="s">
        <v>26</v>
      </c>
      <c r="C7" s="24" t="n">
        <v>0.2</v>
      </c>
      <c r="D7" s="24" t="n">
        <v>0.25</v>
      </c>
      <c r="E7" s="24" t="n">
        <v>0.3</v>
      </c>
      <c r="F7" s="24" t="n">
        <v>0.3</v>
      </c>
      <c r="G7" s="24" t="n">
        <v>0.3</v>
      </c>
      <c r="H7" s="24" t="n">
        <v>0.2</v>
      </c>
      <c r="I7" s="22" t="s">
        <v>76</v>
      </c>
    </row>
    <row r="8" customFormat="false" ht="43.5" hidden="false" customHeight="true" outlineLevel="0" collapsed="false">
      <c r="B8" s="25" t="s">
        <v>77</v>
      </c>
      <c r="C8" s="26" t="n">
        <v>0.15</v>
      </c>
      <c r="D8" s="26" t="n">
        <v>0.15</v>
      </c>
      <c r="E8" s="26" t="n">
        <v>0.2</v>
      </c>
      <c r="F8" s="26" t="n">
        <v>0.15</v>
      </c>
      <c r="G8" s="26" t="n">
        <v>0.15</v>
      </c>
      <c r="H8" s="26" t="n">
        <v>0.15</v>
      </c>
      <c r="I8" s="22" t="s">
        <v>78</v>
      </c>
    </row>
    <row r="9" customFormat="false" ht="43.5" hidden="false" customHeight="true" outlineLevel="0" collapsed="false">
      <c r="B9" s="27" t="s">
        <v>30</v>
      </c>
      <c r="C9" s="28" t="n">
        <v>0.15</v>
      </c>
      <c r="D9" s="28" t="n">
        <v>0.15</v>
      </c>
      <c r="E9" s="28" t="n">
        <v>0.15</v>
      </c>
      <c r="F9" s="28" t="n">
        <v>0.2</v>
      </c>
      <c r="G9" s="28" t="n">
        <v>0.25</v>
      </c>
      <c r="H9" s="28" t="n">
        <v>0.35</v>
      </c>
      <c r="I9" s="22" t="s">
        <v>79</v>
      </c>
    </row>
    <row r="10" customFormat="false" ht="43.5" hidden="false" customHeight="true" outlineLevel="0" collapsed="false">
      <c r="B10" s="29" t="s">
        <v>80</v>
      </c>
      <c r="C10" s="30" t="n">
        <v>0.1</v>
      </c>
      <c r="D10" s="30" t="n">
        <v>0.1</v>
      </c>
      <c r="E10" s="30" t="n">
        <v>0.1</v>
      </c>
      <c r="F10" s="30" t="n">
        <v>0.15</v>
      </c>
      <c r="G10" s="30" t="n">
        <v>0.15</v>
      </c>
      <c r="H10" s="30" t="n">
        <v>0.25</v>
      </c>
      <c r="I10" s="22" t="s">
        <v>81</v>
      </c>
    </row>
    <row r="11" customFormat="false" ht="18" hidden="false" customHeight="true" outlineLevel="0" collapsed="false">
      <c r="B11" s="31" t="s">
        <v>82</v>
      </c>
      <c r="C11" s="32" t="n">
        <f aca="false">SUM(C6:C10)</f>
        <v>1</v>
      </c>
      <c r="D11" s="32" t="n">
        <f aca="false">SUM(D6:D10)</f>
        <v>1</v>
      </c>
      <c r="E11" s="32" t="n">
        <f aca="false">SUM(E6:E10)</f>
        <v>1</v>
      </c>
      <c r="F11" s="32" t="n">
        <f aca="false">SUM(F6:F10)</f>
        <v>1</v>
      </c>
      <c r="G11" s="32" t="n">
        <f aca="false">SUM(G6:G10)</f>
        <v>1</v>
      </c>
      <c r="H11" s="32" t="n">
        <f aca="false">SUM(H6:H10)</f>
        <v>1</v>
      </c>
    </row>
  </sheetData>
  <mergeCells count="2">
    <mergeCell ref="B2:I2"/>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30"/>
    <col collapsed="false" customWidth="true" hidden="false" outlineLevel="0" max="4" min="4" style="0" width="28"/>
    <col collapsed="false" customWidth="true" hidden="false" outlineLevel="0" max="6" min="5" style="0" width="40"/>
    <col collapsed="false" customWidth="true" hidden="false" outlineLevel="0" max="7" min="7" style="0" width="26"/>
    <col collapsed="false" customWidth="true" hidden="false" outlineLevel="0" max="8" min="8" style="0" width="22"/>
    <col collapsed="false" customWidth="true" hidden="false" outlineLevel="0" max="11" min="9" style="0" width="10"/>
    <col collapsed="false" customWidth="true" hidden="false" outlineLevel="0" max="13" min="12" style="0" width="12"/>
    <col collapsed="false" customWidth="true" hidden="false" outlineLevel="0" max="14" min="14" style="0" width="30"/>
    <col collapsed="false" customWidth="true" hidden="false" outlineLevel="0" max="15" min="15" style="0" width="32"/>
  </cols>
  <sheetData>
    <row r="2" customFormat="false" ht="25.5" hidden="false" customHeight="true" outlineLevel="0" collapsed="false">
      <c r="B2" s="17" t="s">
        <v>83</v>
      </c>
      <c r="C2" s="17"/>
      <c r="D2" s="17"/>
      <c r="E2" s="17"/>
      <c r="F2" s="17"/>
      <c r="G2" s="17"/>
      <c r="H2" s="17"/>
      <c r="I2" s="17"/>
      <c r="J2" s="17"/>
      <c r="K2" s="17"/>
      <c r="L2" s="17"/>
      <c r="M2" s="17"/>
      <c r="N2" s="17"/>
      <c r="O2" s="17"/>
    </row>
    <row r="3" customFormat="false" ht="15.75" hidden="false" customHeight="true" outlineLevel="0" collapsed="false">
      <c r="B3" s="33" t="s">
        <v>84</v>
      </c>
      <c r="C3" s="33"/>
      <c r="D3" s="33"/>
      <c r="E3" s="33"/>
      <c r="F3" s="33"/>
      <c r="G3" s="33"/>
      <c r="H3" s="33"/>
      <c r="I3" s="33"/>
      <c r="J3" s="33"/>
      <c r="K3" s="33"/>
      <c r="L3" s="33"/>
      <c r="M3" s="33"/>
      <c r="N3" s="33"/>
      <c r="O3" s="33"/>
    </row>
    <row r="4" customFormat="false" ht="21.75" hidden="false" customHeight="true" outlineLevel="0" collapsed="false">
      <c r="B4" s="34" t="s">
        <v>85</v>
      </c>
      <c r="C4" s="34"/>
      <c r="D4" s="34"/>
      <c r="E4" s="34"/>
      <c r="F4" s="34"/>
      <c r="G4" s="34"/>
      <c r="H4" s="34"/>
      <c r="I4" s="34"/>
      <c r="J4" s="34"/>
      <c r="K4" s="34"/>
      <c r="L4" s="34"/>
      <c r="M4" s="34"/>
      <c r="N4" s="34"/>
      <c r="O4" s="34"/>
    </row>
    <row r="6" customFormat="false" ht="49.5" hidden="false" customHeight="true" outlineLevel="0" collapsed="false">
      <c r="B6" s="19" t="s">
        <v>86</v>
      </c>
      <c r="C6" s="19" t="s">
        <v>87</v>
      </c>
      <c r="D6" s="19" t="s">
        <v>88</v>
      </c>
      <c r="E6" s="19" t="s">
        <v>89</v>
      </c>
      <c r="F6" s="19" t="s">
        <v>90</v>
      </c>
      <c r="G6" s="19" t="s">
        <v>91</v>
      </c>
      <c r="H6" s="19" t="s">
        <v>92</v>
      </c>
      <c r="I6" s="19" t="s">
        <v>93</v>
      </c>
      <c r="J6" s="19" t="s">
        <v>94</v>
      </c>
      <c r="K6" s="19" t="s">
        <v>95</v>
      </c>
      <c r="L6" s="19" t="s">
        <v>96</v>
      </c>
      <c r="M6" s="19" t="s">
        <v>97</v>
      </c>
      <c r="N6" s="19" t="s">
        <v>98</v>
      </c>
      <c r="O6" s="19" t="s">
        <v>99</v>
      </c>
      <c r="P6" s="19" t="s">
        <v>100</v>
      </c>
    </row>
    <row r="7" customFormat="false" ht="27.75" hidden="false" customHeight="true" outlineLevel="0" collapsed="false">
      <c r="B7" s="35" t="s">
        <v>101</v>
      </c>
      <c r="C7" s="35"/>
      <c r="D7" s="35"/>
      <c r="E7" s="35"/>
      <c r="F7" s="35"/>
      <c r="G7" s="35"/>
      <c r="H7" s="35"/>
      <c r="I7" s="35"/>
      <c r="J7" s="35"/>
      <c r="K7" s="35"/>
      <c r="L7" s="35"/>
      <c r="M7" s="35"/>
      <c r="N7" s="35"/>
      <c r="O7" s="35"/>
    </row>
    <row r="8" customFormat="false" ht="69.75" hidden="false" customHeight="true" outlineLevel="0" collapsed="false">
      <c r="B8" s="36" t="n">
        <v>1</v>
      </c>
      <c r="C8" s="37"/>
      <c r="D8" s="37" t="s">
        <v>102</v>
      </c>
      <c r="E8" s="37" t="s">
        <v>103</v>
      </c>
      <c r="F8" s="37" t="s">
        <v>104</v>
      </c>
      <c r="G8" s="37" t="s">
        <v>105</v>
      </c>
      <c r="H8" s="37" t="s">
        <v>106</v>
      </c>
      <c r="I8" s="37" t="s">
        <v>107</v>
      </c>
      <c r="J8" s="38"/>
      <c r="K8" s="38"/>
      <c r="L8" s="39" t="str">
        <f aca="false">IF(AND(ISNUMBER(J8),ISNUMBER(K8)),J8*K8,"")</f>
        <v/>
      </c>
      <c r="M8" s="38"/>
      <c r="N8" s="39" t="str">
        <f aca="false">IF(AND(ISNUMBER(K8),ISNUMBER(L8),L8&lt;&gt;0),K8/L8,"")</f>
        <v/>
      </c>
      <c r="O8" s="37" t="s">
        <v>108</v>
      </c>
      <c r="P8" s="40" t="s">
        <v>109</v>
      </c>
    </row>
    <row r="9" customFormat="false" ht="69.75" hidden="false" customHeight="true" outlineLevel="0" collapsed="false">
      <c r="B9" s="36" t="n">
        <v>2</v>
      </c>
      <c r="C9" s="37"/>
      <c r="D9" s="37" t="s">
        <v>110</v>
      </c>
      <c r="E9" s="37" t="s">
        <v>111</v>
      </c>
      <c r="F9" s="37" t="s">
        <v>112</v>
      </c>
      <c r="G9" s="37" t="s">
        <v>113</v>
      </c>
      <c r="H9" s="37" t="s">
        <v>114</v>
      </c>
      <c r="I9" s="37" t="s">
        <v>107</v>
      </c>
      <c r="J9" s="38"/>
      <c r="K9" s="38"/>
      <c r="L9" s="39" t="str">
        <f aca="false">IF(AND(ISNUMBER(J9),ISNUMBER(K9)),J9*K9,"")</f>
        <v/>
      </c>
      <c r="M9" s="38"/>
      <c r="N9" s="39" t="str">
        <f aca="false">IF(AND(ISNUMBER(K9),ISNUMBER(L9),L9&lt;&gt;0),K9/L9,"")</f>
        <v/>
      </c>
      <c r="O9" s="37" t="s">
        <v>115</v>
      </c>
      <c r="P9" s="40" t="s">
        <v>109</v>
      </c>
    </row>
    <row r="10" customFormat="false" ht="69.75" hidden="false" customHeight="true" outlineLevel="0" collapsed="false">
      <c r="B10" s="36" t="n">
        <v>3</v>
      </c>
      <c r="C10" s="37"/>
      <c r="D10" s="37" t="s">
        <v>116</v>
      </c>
      <c r="E10" s="37" t="s">
        <v>117</v>
      </c>
      <c r="F10" s="37" t="s">
        <v>118</v>
      </c>
      <c r="G10" s="37" t="s">
        <v>119</v>
      </c>
      <c r="H10" s="37" t="s">
        <v>120</v>
      </c>
      <c r="I10" s="37" t="s">
        <v>121</v>
      </c>
      <c r="J10" s="38"/>
      <c r="K10" s="38"/>
      <c r="L10" s="39" t="str">
        <f aca="false">IF(AND(ISNUMBER(J10),ISNUMBER(K10)),J10*K10,"")</f>
        <v/>
      </c>
      <c r="M10" s="38"/>
      <c r="N10" s="39" t="str">
        <f aca="false">IF(AND(ISNUMBER(K10),ISNUMBER(L10),L10&lt;&gt;0),K10/L10,"")</f>
        <v/>
      </c>
      <c r="O10" s="37" t="s">
        <v>122</v>
      </c>
      <c r="P10" s="40" t="s">
        <v>109</v>
      </c>
    </row>
    <row r="11" customFormat="false" ht="69.75" hidden="false" customHeight="true" outlineLevel="0" collapsed="false">
      <c r="B11" s="36" t="n">
        <v>4</v>
      </c>
      <c r="C11" s="37"/>
      <c r="D11" s="37" t="s">
        <v>123</v>
      </c>
      <c r="E11" s="37" t="s">
        <v>124</v>
      </c>
      <c r="F11" s="37" t="s">
        <v>125</v>
      </c>
      <c r="G11" s="37" t="s">
        <v>126</v>
      </c>
      <c r="H11" s="37" t="s">
        <v>127</v>
      </c>
      <c r="I11" s="37" t="s">
        <v>121</v>
      </c>
      <c r="J11" s="38"/>
      <c r="K11" s="38"/>
      <c r="L11" s="39" t="str">
        <f aca="false">IF(AND(ISNUMBER(J11),ISNUMBER(K11)),J11*K11,"")</f>
        <v/>
      </c>
      <c r="M11" s="38"/>
      <c r="N11" s="39" t="str">
        <f aca="false">IF(AND(ISNUMBER(K11),ISNUMBER(L11),L11&lt;&gt;0),K11/L11,"")</f>
        <v/>
      </c>
      <c r="O11" s="37" t="s">
        <v>128</v>
      </c>
      <c r="P11" s="40" t="s">
        <v>109</v>
      </c>
    </row>
    <row r="12" customFormat="false" ht="69.75" hidden="false" customHeight="true" outlineLevel="0" collapsed="false">
      <c r="B12" s="36" t="n">
        <v>5</v>
      </c>
      <c r="C12" s="37"/>
      <c r="D12" s="37" t="s">
        <v>129</v>
      </c>
      <c r="E12" s="37" t="s">
        <v>130</v>
      </c>
      <c r="F12" s="37" t="s">
        <v>131</v>
      </c>
      <c r="G12" s="37" t="s">
        <v>132</v>
      </c>
      <c r="H12" s="37" t="s">
        <v>133</v>
      </c>
      <c r="I12" s="37" t="s">
        <v>134</v>
      </c>
      <c r="J12" s="38"/>
      <c r="K12" s="38"/>
      <c r="L12" s="39" t="str">
        <f aca="false">IF(AND(ISNUMBER(J12),ISNUMBER(K12)),J12*K12,"")</f>
        <v/>
      </c>
      <c r="M12" s="38"/>
      <c r="N12" s="39" t="str">
        <f aca="false">IF(AND(ISNUMBER(K12),ISNUMBER(L12),L12&lt;&gt;0),K12/L12,"")</f>
        <v/>
      </c>
      <c r="O12" s="37" t="s">
        <v>135</v>
      </c>
      <c r="P12" s="40" t="s">
        <v>109</v>
      </c>
    </row>
    <row r="13" customFormat="false" ht="69.75" hidden="false" customHeight="true" outlineLevel="0" collapsed="false">
      <c r="B13" s="36" t="n">
        <v>6</v>
      </c>
      <c r="C13" s="37"/>
      <c r="D13" s="37" t="s">
        <v>136</v>
      </c>
      <c r="E13" s="37" t="s">
        <v>137</v>
      </c>
      <c r="F13" s="37" t="s">
        <v>138</v>
      </c>
      <c r="G13" s="37" t="s">
        <v>139</v>
      </c>
      <c r="H13" s="37" t="s">
        <v>140</v>
      </c>
      <c r="I13" s="37" t="s">
        <v>141</v>
      </c>
      <c r="J13" s="38"/>
      <c r="K13" s="38"/>
      <c r="L13" s="39" t="str">
        <f aca="false">IF(AND(ISNUMBER(J13),ISNUMBER(K13)),J13*K13,"")</f>
        <v/>
      </c>
      <c r="M13" s="38"/>
      <c r="N13" s="39" t="str">
        <f aca="false">IF(AND(ISNUMBER(K13),ISNUMBER(L13),L13&lt;&gt;0),K13/L13,"")</f>
        <v/>
      </c>
      <c r="O13" s="37" t="s">
        <v>142</v>
      </c>
      <c r="P13" s="40" t="s">
        <v>109</v>
      </c>
    </row>
    <row r="14" customFormat="false" ht="69.75" hidden="false" customHeight="true" outlineLevel="0" collapsed="false">
      <c r="B14" s="36" t="n">
        <v>7</v>
      </c>
      <c r="C14" s="37"/>
      <c r="D14" s="37" t="s">
        <v>143</v>
      </c>
      <c r="E14" s="37" t="s">
        <v>144</v>
      </c>
      <c r="F14" s="37" t="s">
        <v>145</v>
      </c>
      <c r="G14" s="37" t="s">
        <v>146</v>
      </c>
      <c r="H14" s="37" t="s">
        <v>147</v>
      </c>
      <c r="I14" s="37" t="s">
        <v>141</v>
      </c>
      <c r="J14" s="38"/>
      <c r="K14" s="38"/>
      <c r="L14" s="39" t="str">
        <f aca="false">IF(AND(ISNUMBER(J14),ISNUMBER(K14)),J14*K14,"")</f>
        <v/>
      </c>
      <c r="M14" s="38"/>
      <c r="N14" s="39" t="str">
        <f aca="false">IF(AND(ISNUMBER(K14),ISNUMBER(L14),L14&lt;&gt;0),K14/L14,"")</f>
        <v/>
      </c>
      <c r="O14" s="37" t="s">
        <v>148</v>
      </c>
      <c r="P14" s="40" t="s">
        <v>109</v>
      </c>
    </row>
    <row r="15" customFormat="false" ht="27.75" hidden="false" customHeight="true" outlineLevel="0" collapsed="false">
      <c r="B15" s="35" t="s">
        <v>149</v>
      </c>
      <c r="C15" s="35"/>
      <c r="D15" s="35"/>
      <c r="E15" s="35"/>
      <c r="F15" s="35"/>
      <c r="G15" s="35"/>
      <c r="H15" s="35"/>
      <c r="I15" s="35"/>
      <c r="J15" s="35"/>
      <c r="K15" s="35"/>
      <c r="L15" s="35"/>
      <c r="M15" s="35"/>
      <c r="N15" s="35"/>
      <c r="O15" s="35"/>
    </row>
    <row r="16" customFormat="false" ht="69.75" hidden="false" customHeight="true" outlineLevel="0" collapsed="false">
      <c r="B16" s="36" t="n">
        <v>8</v>
      </c>
      <c r="C16" s="41"/>
      <c r="D16" s="41" t="s">
        <v>150</v>
      </c>
      <c r="E16" s="41" t="s">
        <v>151</v>
      </c>
      <c r="F16" s="41" t="s">
        <v>152</v>
      </c>
      <c r="G16" s="41" t="s">
        <v>153</v>
      </c>
      <c r="H16" s="41" t="s">
        <v>154</v>
      </c>
      <c r="I16" s="41" t="s">
        <v>155</v>
      </c>
      <c r="J16" s="38"/>
      <c r="K16" s="38"/>
      <c r="L16" s="42" t="str">
        <f aca="false">IF(AND(ISNUMBER(J16),ISNUMBER(K16)),J16*K16,"")</f>
        <v/>
      </c>
      <c r="M16" s="38"/>
      <c r="N16" s="42" t="str">
        <f aca="false">IF(AND(ISNUMBER(K16),ISNUMBER(L16),L16&lt;&gt;0),K16/L16,"")</f>
        <v/>
      </c>
      <c r="O16" s="41" t="s">
        <v>156</v>
      </c>
      <c r="P16" s="40" t="s">
        <v>109</v>
      </c>
    </row>
    <row r="17" customFormat="false" ht="69.75" hidden="false" customHeight="true" outlineLevel="0" collapsed="false">
      <c r="B17" s="36" t="n">
        <v>9</v>
      </c>
      <c r="C17" s="41"/>
      <c r="D17" s="41" t="s">
        <v>157</v>
      </c>
      <c r="E17" s="41" t="s">
        <v>158</v>
      </c>
      <c r="F17" s="41" t="s">
        <v>159</v>
      </c>
      <c r="G17" s="41" t="s">
        <v>160</v>
      </c>
      <c r="H17" s="41" t="s">
        <v>161</v>
      </c>
      <c r="I17" s="41" t="s">
        <v>162</v>
      </c>
      <c r="J17" s="38"/>
      <c r="K17" s="38"/>
      <c r="L17" s="42" t="str">
        <f aca="false">IF(AND(ISNUMBER(J17),ISNUMBER(K17)),J17*K17,"")</f>
        <v/>
      </c>
      <c r="M17" s="38"/>
      <c r="N17" s="42" t="str">
        <f aca="false">IF(AND(ISNUMBER(K17),ISNUMBER(L17),L17&lt;&gt;0),K17/L17,"")</f>
        <v/>
      </c>
      <c r="O17" s="41" t="s">
        <v>163</v>
      </c>
      <c r="P17" s="40" t="s">
        <v>109</v>
      </c>
    </row>
    <row r="18" customFormat="false" ht="69.75" hidden="false" customHeight="true" outlineLevel="0" collapsed="false">
      <c r="B18" s="36" t="n">
        <v>10</v>
      </c>
      <c r="C18" s="41"/>
      <c r="D18" s="41" t="s">
        <v>164</v>
      </c>
      <c r="E18" s="41" t="s">
        <v>165</v>
      </c>
      <c r="F18" s="41" t="s">
        <v>166</v>
      </c>
      <c r="G18" s="41" t="s">
        <v>167</v>
      </c>
      <c r="H18" s="41" t="s">
        <v>168</v>
      </c>
      <c r="I18" s="41" t="s">
        <v>169</v>
      </c>
      <c r="J18" s="38"/>
      <c r="K18" s="38"/>
      <c r="L18" s="42" t="str">
        <f aca="false">IF(AND(ISNUMBER(J18),ISNUMBER(K18)),J18*K18,"")</f>
        <v/>
      </c>
      <c r="M18" s="38"/>
      <c r="N18" s="42" t="str">
        <f aca="false">IF(AND(ISNUMBER(K18),ISNUMBER(L18),L18&lt;&gt;0),K18/L18,"")</f>
        <v/>
      </c>
      <c r="O18" s="41" t="s">
        <v>170</v>
      </c>
      <c r="P18" s="40" t="s">
        <v>109</v>
      </c>
    </row>
    <row r="19" customFormat="false" ht="69.75" hidden="false" customHeight="true" outlineLevel="0" collapsed="false">
      <c r="B19" s="36" t="n">
        <v>11</v>
      </c>
      <c r="C19" s="41"/>
      <c r="D19" s="41" t="s">
        <v>171</v>
      </c>
      <c r="E19" s="41" t="s">
        <v>172</v>
      </c>
      <c r="F19" s="41" t="s">
        <v>173</v>
      </c>
      <c r="G19" s="41" t="s">
        <v>174</v>
      </c>
      <c r="H19" s="41" t="s">
        <v>175</v>
      </c>
      <c r="I19" s="41" t="s">
        <v>176</v>
      </c>
      <c r="J19" s="38"/>
      <c r="K19" s="38"/>
      <c r="L19" s="42" t="str">
        <f aca="false">IF(AND(ISNUMBER(J19),ISNUMBER(K19)),J19*K19,"")</f>
        <v/>
      </c>
      <c r="M19" s="38"/>
      <c r="N19" s="42" t="str">
        <f aca="false">IF(AND(ISNUMBER(K19),ISNUMBER(L19),L19&lt;&gt;0),K19/L19,"")</f>
        <v/>
      </c>
      <c r="O19" s="41" t="s">
        <v>177</v>
      </c>
      <c r="P19" s="40" t="s">
        <v>109</v>
      </c>
    </row>
    <row r="20" customFormat="false" ht="69.75" hidden="false" customHeight="true" outlineLevel="0" collapsed="false">
      <c r="B20" s="36" t="n">
        <v>12</v>
      </c>
      <c r="C20" s="41"/>
      <c r="D20" s="41" t="s">
        <v>178</v>
      </c>
      <c r="E20" s="41" t="s">
        <v>179</v>
      </c>
      <c r="F20" s="41" t="s">
        <v>180</v>
      </c>
      <c r="G20" s="41" t="s">
        <v>181</v>
      </c>
      <c r="H20" s="41" t="s">
        <v>182</v>
      </c>
      <c r="I20" s="41" t="s">
        <v>183</v>
      </c>
      <c r="J20" s="38"/>
      <c r="K20" s="38"/>
      <c r="L20" s="42" t="str">
        <f aca="false">IF(AND(ISNUMBER(J20),ISNUMBER(K20)),J20*K20,"")</f>
        <v/>
      </c>
      <c r="M20" s="38"/>
      <c r="N20" s="42" t="str">
        <f aca="false">IF(AND(ISNUMBER(K20),ISNUMBER(L20),L20&lt;&gt;0),K20/L20,"")</f>
        <v/>
      </c>
      <c r="O20" s="41" t="s">
        <v>184</v>
      </c>
      <c r="P20" s="40" t="s">
        <v>109</v>
      </c>
    </row>
    <row r="21" customFormat="false" ht="27.75" hidden="false" customHeight="true" outlineLevel="0" collapsed="false">
      <c r="B21" s="35" t="s">
        <v>185</v>
      </c>
      <c r="C21" s="35"/>
      <c r="D21" s="35"/>
      <c r="E21" s="35"/>
      <c r="F21" s="35"/>
      <c r="G21" s="35"/>
      <c r="H21" s="35"/>
      <c r="I21" s="35"/>
      <c r="J21" s="35"/>
      <c r="K21" s="35"/>
      <c r="L21" s="35"/>
      <c r="M21" s="35"/>
      <c r="N21" s="35"/>
      <c r="O21" s="35"/>
    </row>
    <row r="22" customFormat="false" ht="69.75" hidden="false" customHeight="true" outlineLevel="0" collapsed="false">
      <c r="B22" s="36" t="n">
        <v>13</v>
      </c>
      <c r="C22" s="43"/>
      <c r="D22" s="43" t="s">
        <v>186</v>
      </c>
      <c r="E22" s="43" t="s">
        <v>187</v>
      </c>
      <c r="F22" s="43" t="s">
        <v>188</v>
      </c>
      <c r="G22" s="43" t="s">
        <v>189</v>
      </c>
      <c r="H22" s="43" t="s">
        <v>190</v>
      </c>
      <c r="I22" s="43" t="s">
        <v>191</v>
      </c>
      <c r="J22" s="38"/>
      <c r="K22" s="38"/>
      <c r="L22" s="44" t="str">
        <f aca="false">IF(AND(ISNUMBER(J22),ISNUMBER(K22)),J22*K22,"")</f>
        <v/>
      </c>
      <c r="M22" s="38"/>
      <c r="N22" s="44" t="str">
        <f aca="false">IF(AND(ISNUMBER(K22),ISNUMBER(L22),L22&lt;&gt;0),K22/L22,"")</f>
        <v/>
      </c>
      <c r="O22" s="43" t="s">
        <v>192</v>
      </c>
      <c r="P22" s="40" t="s">
        <v>109</v>
      </c>
    </row>
    <row r="23" customFormat="false" ht="69.75" hidden="false" customHeight="true" outlineLevel="0" collapsed="false">
      <c r="B23" s="36" t="n">
        <v>14</v>
      </c>
      <c r="C23" s="43"/>
      <c r="D23" s="43" t="s">
        <v>193</v>
      </c>
      <c r="E23" s="43" t="s">
        <v>194</v>
      </c>
      <c r="F23" s="43" t="s">
        <v>195</v>
      </c>
      <c r="G23" s="43" t="s">
        <v>196</v>
      </c>
      <c r="H23" s="43" t="s">
        <v>197</v>
      </c>
      <c r="I23" s="43" t="s">
        <v>198</v>
      </c>
      <c r="J23" s="38"/>
      <c r="K23" s="38"/>
      <c r="L23" s="44" t="str">
        <f aca="false">IF(AND(ISNUMBER(J23),ISNUMBER(K23)),J23*K23,"")</f>
        <v/>
      </c>
      <c r="M23" s="38"/>
      <c r="N23" s="44" t="str">
        <f aca="false">IF(AND(ISNUMBER(K23),ISNUMBER(L23),L23&lt;&gt;0),K23/L23,"")</f>
        <v/>
      </c>
      <c r="O23" s="43" t="s">
        <v>199</v>
      </c>
      <c r="P23" s="40" t="s">
        <v>109</v>
      </c>
    </row>
    <row r="24" customFormat="false" ht="69.75" hidden="false" customHeight="true" outlineLevel="0" collapsed="false">
      <c r="B24" s="36" t="n">
        <v>15</v>
      </c>
      <c r="C24" s="43"/>
      <c r="D24" s="43" t="s">
        <v>200</v>
      </c>
      <c r="E24" s="43" t="s">
        <v>201</v>
      </c>
      <c r="F24" s="43" t="s">
        <v>202</v>
      </c>
      <c r="G24" s="43" t="s">
        <v>203</v>
      </c>
      <c r="H24" s="43" t="s">
        <v>204</v>
      </c>
      <c r="I24" s="43" t="s">
        <v>205</v>
      </c>
      <c r="J24" s="38"/>
      <c r="K24" s="38"/>
      <c r="L24" s="44" t="str">
        <f aca="false">IF(AND(ISNUMBER(J24),ISNUMBER(K24)),J24*K24,"")</f>
        <v/>
      </c>
      <c r="M24" s="38"/>
      <c r="N24" s="44" t="str">
        <f aca="false">IF(AND(ISNUMBER(K24),ISNUMBER(L24),L24&lt;&gt;0),K24/L24,"")</f>
        <v/>
      </c>
      <c r="O24" s="43" t="s">
        <v>206</v>
      </c>
      <c r="P24" s="40" t="s">
        <v>109</v>
      </c>
    </row>
    <row r="25" customFormat="false" ht="69.75" hidden="false" customHeight="true" outlineLevel="0" collapsed="false">
      <c r="B25" s="36" t="n">
        <v>16</v>
      </c>
      <c r="C25" s="43"/>
      <c r="D25" s="43" t="s">
        <v>207</v>
      </c>
      <c r="E25" s="43" t="s">
        <v>208</v>
      </c>
      <c r="F25" s="43" t="s">
        <v>209</v>
      </c>
      <c r="G25" s="43" t="s">
        <v>210</v>
      </c>
      <c r="H25" s="43" t="s">
        <v>211</v>
      </c>
      <c r="I25" s="43" t="s">
        <v>212</v>
      </c>
      <c r="J25" s="38"/>
      <c r="K25" s="38"/>
      <c r="L25" s="44" t="str">
        <f aca="false">IF(AND(ISNUMBER(J25),ISNUMBER(K25)),J25*K25,"")</f>
        <v/>
      </c>
      <c r="M25" s="38"/>
      <c r="N25" s="44" t="str">
        <f aca="false">IF(AND(ISNUMBER(K25),ISNUMBER(L25),L25&lt;&gt;0),K25/L25,"")</f>
        <v/>
      </c>
      <c r="O25" s="43" t="s">
        <v>213</v>
      </c>
      <c r="P25" s="40" t="s">
        <v>109</v>
      </c>
    </row>
    <row r="26" customFormat="false" ht="69.75" hidden="false" customHeight="true" outlineLevel="0" collapsed="false">
      <c r="B26" s="36" t="n">
        <v>17</v>
      </c>
      <c r="C26" s="43"/>
      <c r="D26" s="43" t="s">
        <v>214</v>
      </c>
      <c r="E26" s="43" t="s">
        <v>215</v>
      </c>
      <c r="F26" s="43" t="s">
        <v>216</v>
      </c>
      <c r="G26" s="43" t="s">
        <v>217</v>
      </c>
      <c r="H26" s="43" t="s">
        <v>218</v>
      </c>
      <c r="I26" s="43" t="s">
        <v>219</v>
      </c>
      <c r="J26" s="38"/>
      <c r="K26" s="38"/>
      <c r="L26" s="44" t="str">
        <f aca="false">IF(AND(ISNUMBER(J26),ISNUMBER(K26)),J26*K26,"")</f>
        <v/>
      </c>
      <c r="M26" s="38"/>
      <c r="N26" s="44" t="str">
        <f aca="false">IF(AND(ISNUMBER(K26),ISNUMBER(L26),L26&lt;&gt;0),K26/L26,"")</f>
        <v/>
      </c>
      <c r="O26" s="43" t="s">
        <v>220</v>
      </c>
      <c r="P26" s="40" t="s">
        <v>109</v>
      </c>
    </row>
    <row r="27" customFormat="false" ht="27.75" hidden="false" customHeight="true" outlineLevel="0" collapsed="false">
      <c r="B27" s="35" t="s">
        <v>221</v>
      </c>
      <c r="C27" s="35"/>
      <c r="D27" s="35"/>
      <c r="E27" s="35"/>
      <c r="F27" s="35"/>
      <c r="G27" s="35"/>
      <c r="H27" s="35"/>
      <c r="I27" s="35"/>
      <c r="J27" s="35"/>
      <c r="K27" s="35"/>
      <c r="L27" s="35"/>
      <c r="M27" s="35"/>
      <c r="N27" s="35"/>
      <c r="O27" s="35"/>
    </row>
    <row r="28" customFormat="false" ht="69.75" hidden="false" customHeight="true" outlineLevel="0" collapsed="false">
      <c r="B28" s="36" t="n">
        <v>18</v>
      </c>
      <c r="C28" s="45"/>
      <c r="D28" s="45" t="s">
        <v>222</v>
      </c>
      <c r="E28" s="45" t="s">
        <v>223</v>
      </c>
      <c r="F28" s="45" t="s">
        <v>224</v>
      </c>
      <c r="G28" s="45" t="s">
        <v>225</v>
      </c>
      <c r="H28" s="45" t="s">
        <v>226</v>
      </c>
      <c r="I28" s="45" t="s">
        <v>227</v>
      </c>
      <c r="J28" s="38"/>
      <c r="K28" s="38"/>
      <c r="L28" s="46" t="str">
        <f aca="false">IF(AND(ISNUMBER(J28),ISNUMBER(K28)),J28*K28,"")</f>
        <v/>
      </c>
      <c r="M28" s="38"/>
      <c r="N28" s="46" t="str">
        <f aca="false">IF(AND(ISNUMBER(K28),ISNUMBER(L28),L28&lt;&gt;0),K28/L28,"")</f>
        <v/>
      </c>
      <c r="O28" s="45" t="s">
        <v>228</v>
      </c>
      <c r="P28" s="40" t="s">
        <v>109</v>
      </c>
    </row>
    <row r="29" customFormat="false" ht="69.75" hidden="false" customHeight="true" outlineLevel="0" collapsed="false">
      <c r="B29" s="36" t="n">
        <v>19</v>
      </c>
      <c r="C29" s="45"/>
      <c r="D29" s="45" t="s">
        <v>229</v>
      </c>
      <c r="E29" s="45" t="s">
        <v>230</v>
      </c>
      <c r="F29" s="45" t="s">
        <v>231</v>
      </c>
      <c r="G29" s="45" t="s">
        <v>232</v>
      </c>
      <c r="H29" s="45" t="s">
        <v>233</v>
      </c>
      <c r="I29" s="45" t="s">
        <v>234</v>
      </c>
      <c r="J29" s="38"/>
      <c r="K29" s="38"/>
      <c r="L29" s="46" t="str">
        <f aca="false">IF(AND(ISNUMBER(J29),ISNUMBER(K29)),J29*K29,"")</f>
        <v/>
      </c>
      <c r="M29" s="38"/>
      <c r="N29" s="46" t="str">
        <f aca="false">IF(AND(ISNUMBER(K29),ISNUMBER(L29),L29&lt;&gt;0),K29/L29,"")</f>
        <v/>
      </c>
      <c r="O29" s="45" t="s">
        <v>235</v>
      </c>
      <c r="P29" s="40" t="s">
        <v>109</v>
      </c>
    </row>
    <row r="30" customFormat="false" ht="69.75" hidden="false" customHeight="true" outlineLevel="0" collapsed="false">
      <c r="B30" s="36" t="n">
        <v>20</v>
      </c>
      <c r="C30" s="45"/>
      <c r="D30" s="45" t="s">
        <v>236</v>
      </c>
      <c r="E30" s="45" t="s">
        <v>237</v>
      </c>
      <c r="F30" s="45" t="s">
        <v>238</v>
      </c>
      <c r="G30" s="45" t="s">
        <v>239</v>
      </c>
      <c r="H30" s="45" t="s">
        <v>240</v>
      </c>
      <c r="I30" s="45" t="s">
        <v>241</v>
      </c>
      <c r="J30" s="38"/>
      <c r="K30" s="38"/>
      <c r="L30" s="46" t="str">
        <f aca="false">IF(AND(ISNUMBER(J30),ISNUMBER(K30)),J30*K30,"")</f>
        <v/>
      </c>
      <c r="M30" s="38"/>
      <c r="N30" s="46" t="str">
        <f aca="false">IF(AND(ISNUMBER(K30),ISNUMBER(L30),L30&lt;&gt;0),K30/L30,"")</f>
        <v/>
      </c>
      <c r="O30" s="45" t="s">
        <v>242</v>
      </c>
      <c r="P30" s="40" t="s">
        <v>109</v>
      </c>
    </row>
    <row r="31" customFormat="false" ht="69.75" hidden="false" customHeight="true" outlineLevel="0" collapsed="false">
      <c r="B31" s="36" t="n">
        <v>21</v>
      </c>
      <c r="C31" s="45"/>
      <c r="D31" s="45" t="s">
        <v>243</v>
      </c>
      <c r="E31" s="45" t="s">
        <v>244</v>
      </c>
      <c r="F31" s="45" t="s">
        <v>245</v>
      </c>
      <c r="G31" s="45" t="s">
        <v>246</v>
      </c>
      <c r="H31" s="45" t="s">
        <v>247</v>
      </c>
      <c r="I31" s="45" t="s">
        <v>248</v>
      </c>
      <c r="J31" s="38"/>
      <c r="K31" s="38"/>
      <c r="L31" s="46" t="str">
        <f aca="false">IF(AND(ISNUMBER(J31),ISNUMBER(K31)),J31*K31,"")</f>
        <v/>
      </c>
      <c r="M31" s="38"/>
      <c r="N31" s="46" t="str">
        <f aca="false">IF(AND(ISNUMBER(K31),ISNUMBER(L31),L31&lt;&gt;0),K31/L31,"")</f>
        <v/>
      </c>
      <c r="O31" s="45" t="s">
        <v>249</v>
      </c>
      <c r="P31" s="40" t="s">
        <v>109</v>
      </c>
    </row>
    <row r="32" customFormat="false" ht="69.75" hidden="false" customHeight="true" outlineLevel="0" collapsed="false">
      <c r="B32" s="36" t="n">
        <v>22</v>
      </c>
      <c r="C32" s="45"/>
      <c r="D32" s="45" t="s">
        <v>250</v>
      </c>
      <c r="E32" s="45" t="s">
        <v>251</v>
      </c>
      <c r="F32" s="45" t="s">
        <v>252</v>
      </c>
      <c r="G32" s="45" t="s">
        <v>253</v>
      </c>
      <c r="H32" s="45" t="s">
        <v>254</v>
      </c>
      <c r="I32" s="45" t="s">
        <v>169</v>
      </c>
      <c r="J32" s="38"/>
      <c r="K32" s="38"/>
      <c r="L32" s="46" t="str">
        <f aca="false">IF(AND(ISNUMBER(J32),ISNUMBER(K32)),J32*K32,"")</f>
        <v/>
      </c>
      <c r="M32" s="38"/>
      <c r="N32" s="46" t="str">
        <f aca="false">IF(AND(ISNUMBER(K32),ISNUMBER(L32),L32&lt;&gt;0),K32/L32,"")</f>
        <v/>
      </c>
      <c r="O32" s="45" t="s">
        <v>255</v>
      </c>
      <c r="P32" s="40" t="s">
        <v>109</v>
      </c>
    </row>
    <row r="33" customFormat="false" ht="27.75" hidden="false" customHeight="true" outlineLevel="0" collapsed="false">
      <c r="B33" s="35" t="s">
        <v>256</v>
      </c>
      <c r="C33" s="35"/>
      <c r="D33" s="35"/>
      <c r="E33" s="35"/>
      <c r="F33" s="35"/>
      <c r="G33" s="35"/>
      <c r="H33" s="35"/>
      <c r="I33" s="35"/>
      <c r="J33" s="35"/>
      <c r="K33" s="35"/>
      <c r="L33" s="35"/>
      <c r="M33" s="35"/>
      <c r="N33" s="35"/>
      <c r="O33" s="35"/>
    </row>
    <row r="34" customFormat="false" ht="69.75" hidden="false" customHeight="true" outlineLevel="0" collapsed="false">
      <c r="B34" s="36" t="n">
        <v>23</v>
      </c>
      <c r="C34" s="47"/>
      <c r="D34" s="47" t="s">
        <v>257</v>
      </c>
      <c r="E34" s="47" t="s">
        <v>258</v>
      </c>
      <c r="F34" s="47" t="s">
        <v>259</v>
      </c>
      <c r="G34" s="47" t="s">
        <v>260</v>
      </c>
      <c r="H34" s="47" t="s">
        <v>261</v>
      </c>
      <c r="I34" s="47" t="s">
        <v>262</v>
      </c>
      <c r="J34" s="38"/>
      <c r="K34" s="38"/>
      <c r="L34" s="48" t="str">
        <f aca="false">IF(AND(ISNUMBER(J34),ISNUMBER(K34)),J34*K34,"")</f>
        <v/>
      </c>
      <c r="M34" s="38"/>
      <c r="N34" s="48" t="str">
        <f aca="false">IF(AND(ISNUMBER(K34),ISNUMBER(L34),L34&lt;&gt;0),K34/L34,"")</f>
        <v/>
      </c>
      <c r="O34" s="47" t="s">
        <v>263</v>
      </c>
      <c r="P34" s="40" t="s">
        <v>109</v>
      </c>
    </row>
    <row r="35" customFormat="false" ht="69.75" hidden="false" customHeight="true" outlineLevel="0" collapsed="false">
      <c r="B35" s="36" t="n">
        <v>24</v>
      </c>
      <c r="C35" s="47"/>
      <c r="D35" s="47" t="s">
        <v>264</v>
      </c>
      <c r="E35" s="47" t="s">
        <v>265</v>
      </c>
      <c r="F35" s="47" t="s">
        <v>266</v>
      </c>
      <c r="G35" s="47" t="s">
        <v>267</v>
      </c>
      <c r="H35" s="47" t="s">
        <v>268</v>
      </c>
      <c r="I35" s="47" t="s">
        <v>269</v>
      </c>
      <c r="J35" s="38"/>
      <c r="K35" s="38"/>
      <c r="L35" s="48" t="str">
        <f aca="false">IF(AND(ISNUMBER(J35),ISNUMBER(K35)),J35*K35,"")</f>
        <v/>
      </c>
      <c r="M35" s="38"/>
      <c r="N35" s="48" t="str">
        <f aca="false">IF(AND(ISNUMBER(K35),ISNUMBER(L35),L35&lt;&gt;0),K35/L35,"")</f>
        <v/>
      </c>
      <c r="O35" s="47" t="s">
        <v>270</v>
      </c>
      <c r="P35" s="40" t="s">
        <v>109</v>
      </c>
    </row>
    <row r="36" customFormat="false" ht="69.75" hidden="false" customHeight="true" outlineLevel="0" collapsed="false">
      <c r="B36" s="36" t="n">
        <v>25</v>
      </c>
      <c r="C36" s="47"/>
      <c r="D36" s="47" t="s">
        <v>271</v>
      </c>
      <c r="E36" s="47" t="s">
        <v>272</v>
      </c>
      <c r="F36" s="47" t="s">
        <v>273</v>
      </c>
      <c r="G36" s="47" t="s">
        <v>274</v>
      </c>
      <c r="H36" s="47" t="s">
        <v>275</v>
      </c>
      <c r="I36" s="47" t="s">
        <v>276</v>
      </c>
      <c r="J36" s="38"/>
      <c r="K36" s="38"/>
      <c r="L36" s="48" t="str">
        <f aca="false">IF(AND(ISNUMBER(J36),ISNUMBER(K36)),J36*K36,"")</f>
        <v/>
      </c>
      <c r="M36" s="38"/>
      <c r="N36" s="48" t="str">
        <f aca="false">IF(AND(ISNUMBER(K36),ISNUMBER(L36),L36&lt;&gt;0),K36/L36,"")</f>
        <v/>
      </c>
      <c r="O36" s="47" t="s">
        <v>277</v>
      </c>
      <c r="P36" s="40" t="s">
        <v>109</v>
      </c>
    </row>
    <row r="37" customFormat="false" ht="69.75" hidden="false" customHeight="true" outlineLevel="0" collapsed="false">
      <c r="B37" s="36" t="n">
        <v>26</v>
      </c>
      <c r="C37" s="47"/>
      <c r="D37" s="47" t="s">
        <v>278</v>
      </c>
      <c r="E37" s="47" t="s">
        <v>279</v>
      </c>
      <c r="F37" s="47" t="s">
        <v>280</v>
      </c>
      <c r="G37" s="47" t="s">
        <v>281</v>
      </c>
      <c r="H37" s="47" t="s">
        <v>282</v>
      </c>
      <c r="I37" s="47" t="s">
        <v>283</v>
      </c>
      <c r="J37" s="38"/>
      <c r="K37" s="38"/>
      <c r="L37" s="48" t="str">
        <f aca="false">IF(AND(ISNUMBER(J37),ISNUMBER(K37)),J37*K37,"")</f>
        <v/>
      </c>
      <c r="M37" s="38"/>
      <c r="N37" s="48" t="str">
        <f aca="false">IF(AND(ISNUMBER(K37),ISNUMBER(L37),L37&lt;&gt;0),K37/L37,"")</f>
        <v/>
      </c>
      <c r="O37" s="47" t="s">
        <v>284</v>
      </c>
      <c r="P37" s="40" t="s">
        <v>109</v>
      </c>
    </row>
    <row r="38" customFormat="false" ht="69.75" hidden="false" customHeight="true" outlineLevel="0" collapsed="false">
      <c r="B38" s="36" t="n">
        <v>27</v>
      </c>
      <c r="C38" s="47"/>
      <c r="D38" s="47" t="s">
        <v>285</v>
      </c>
      <c r="E38" s="47" t="s">
        <v>286</v>
      </c>
      <c r="F38" s="47" t="s">
        <v>287</v>
      </c>
      <c r="G38" s="47" t="s">
        <v>288</v>
      </c>
      <c r="H38" s="47" t="s">
        <v>289</v>
      </c>
      <c r="I38" s="47" t="s">
        <v>290</v>
      </c>
      <c r="J38" s="38"/>
      <c r="K38" s="38"/>
      <c r="L38" s="48" t="str">
        <f aca="false">IF(AND(ISNUMBER(J38),ISNUMBER(K38)),J38*K38,"")</f>
        <v/>
      </c>
      <c r="M38" s="38"/>
      <c r="N38" s="48" t="str">
        <f aca="false">IF(AND(ISNUMBER(K38),ISNUMBER(L38),L38&lt;&gt;0),K38/L38,"")</f>
        <v/>
      </c>
      <c r="O38" s="47" t="s">
        <v>291</v>
      </c>
      <c r="P38" s="40" t="s">
        <v>109</v>
      </c>
    </row>
  </sheetData>
  <mergeCells count="8">
    <mergeCell ref="B2:O2"/>
    <mergeCell ref="B3:O3"/>
    <mergeCell ref="B4:O4"/>
    <mergeCell ref="B7:O7"/>
    <mergeCell ref="B15:O15"/>
    <mergeCell ref="B21:O21"/>
    <mergeCell ref="B27:O27"/>
    <mergeCell ref="B33:O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8"/>
    <col collapsed="false" customWidth="true" hidden="false" outlineLevel="0" max="14" min="4" style="0" width="12"/>
  </cols>
  <sheetData>
    <row r="2" customFormat="false" ht="25.5" hidden="false" customHeight="true" outlineLevel="0" collapsed="false">
      <c r="B2" s="17" t="s">
        <v>292</v>
      </c>
      <c r="C2" s="17"/>
      <c r="D2" s="17"/>
      <c r="E2" s="17"/>
      <c r="F2" s="17"/>
      <c r="G2" s="17"/>
      <c r="H2" s="17"/>
      <c r="I2" s="17"/>
      <c r="J2" s="17"/>
      <c r="K2" s="17"/>
      <c r="L2" s="17"/>
      <c r="M2" s="17"/>
      <c r="N2" s="17"/>
    </row>
    <row r="5" customFormat="false" ht="19.5" hidden="false" customHeight="true" outlineLevel="0" collapsed="false">
      <c r="B5" s="49" t="s">
        <v>293</v>
      </c>
      <c r="C5" s="50"/>
      <c r="F5" s="51" t="s">
        <v>294</v>
      </c>
      <c r="G5" s="51"/>
      <c r="H5" s="51"/>
      <c r="I5" s="51"/>
      <c r="J5" s="51"/>
      <c r="K5" s="51"/>
      <c r="L5" s="51"/>
      <c r="M5" s="51"/>
      <c r="N5" s="51"/>
    </row>
    <row r="6" customFormat="false" ht="19.5" hidden="false" customHeight="true" outlineLevel="0" collapsed="false">
      <c r="B6" s="49" t="s">
        <v>295</v>
      </c>
      <c r="C6" s="50"/>
      <c r="F6" s="51"/>
      <c r="G6" s="51"/>
      <c r="H6" s="51"/>
      <c r="I6" s="51"/>
      <c r="J6" s="51"/>
      <c r="K6" s="51"/>
      <c r="L6" s="51"/>
      <c r="M6" s="51"/>
      <c r="N6" s="51"/>
    </row>
    <row r="7" customFormat="false" ht="19.5" hidden="false" customHeight="true" outlineLevel="0" collapsed="false">
      <c r="B7" s="49" t="s">
        <v>296</v>
      </c>
      <c r="C7" s="50"/>
      <c r="F7" s="51"/>
      <c r="G7" s="51"/>
      <c r="H7" s="51"/>
      <c r="I7" s="51"/>
      <c r="J7" s="51"/>
      <c r="K7" s="51"/>
      <c r="L7" s="51"/>
      <c r="M7" s="51"/>
      <c r="N7" s="51"/>
    </row>
    <row r="8" customFormat="false" ht="19.5" hidden="false" customHeight="true" outlineLevel="0" collapsed="false">
      <c r="B8" s="49" t="s">
        <v>297</v>
      </c>
      <c r="C8" s="50"/>
      <c r="F8" s="51"/>
      <c r="G8" s="51"/>
      <c r="H8" s="51"/>
      <c r="I8" s="51"/>
      <c r="J8" s="51"/>
      <c r="K8" s="51"/>
      <c r="L8" s="51"/>
      <c r="M8" s="51"/>
      <c r="N8" s="51"/>
    </row>
    <row r="9" customFormat="false" ht="19.5" hidden="false" customHeight="true" outlineLevel="0" collapsed="false">
      <c r="B9" s="49" t="s">
        <v>298</v>
      </c>
      <c r="C9" s="50"/>
    </row>
    <row r="10" customFormat="false" ht="19.5" hidden="false" customHeight="true" outlineLevel="0" collapsed="false">
      <c r="B10" s="49" t="s">
        <v>299</v>
      </c>
      <c r="C10" s="50"/>
    </row>
    <row r="11" customFormat="false" ht="19.5" hidden="false" customHeight="true" outlineLevel="0" collapsed="false">
      <c r="B11" s="49" t="s">
        <v>300</v>
      </c>
      <c r="C11" s="50"/>
    </row>
    <row r="12" customFormat="false" ht="19.5" hidden="false" customHeight="true" outlineLevel="0" collapsed="false">
      <c r="B12" s="49" t="s">
        <v>301</v>
      </c>
      <c r="C12" s="50"/>
    </row>
    <row r="13" customFormat="false" ht="19.5" hidden="false" customHeight="true" outlineLevel="0" collapsed="false">
      <c r="B13" s="49" t="s">
        <v>302</v>
      </c>
      <c r="C13" s="50"/>
    </row>
    <row r="15" customFormat="false" ht="21.75" hidden="false" customHeight="true" outlineLevel="0" collapsed="false">
      <c r="B15" s="52" t="s">
        <v>303</v>
      </c>
      <c r="C15" s="52"/>
      <c r="D15" s="52"/>
      <c r="E15" s="52"/>
      <c r="F15" s="52"/>
      <c r="G15" s="52"/>
      <c r="H15" s="52"/>
      <c r="I15" s="52"/>
      <c r="J15" s="52"/>
      <c r="K15" s="52"/>
      <c r="L15" s="52"/>
      <c r="M15" s="52"/>
      <c r="N15" s="52"/>
    </row>
    <row r="16" customFormat="false" ht="43.5" hidden="false" customHeight="true" outlineLevel="0" collapsed="false">
      <c r="B16" s="53" t="s">
        <v>304</v>
      </c>
      <c r="C16" s="53" t="s">
        <v>305</v>
      </c>
      <c r="D16" s="53" t="s">
        <v>306</v>
      </c>
      <c r="E16" s="53" t="s">
        <v>68</v>
      </c>
      <c r="F16" s="53" t="s">
        <v>307</v>
      </c>
      <c r="G16" s="53" t="s">
        <v>70</v>
      </c>
      <c r="H16" s="53" t="s">
        <v>308</v>
      </c>
      <c r="I16" s="53" t="s">
        <v>309</v>
      </c>
      <c r="J16" s="53" t="s">
        <v>310</v>
      </c>
      <c r="K16" s="53" t="s">
        <v>311</v>
      </c>
      <c r="L16" s="53" t="s">
        <v>312</v>
      </c>
      <c r="M16" s="53" t="s">
        <v>313</v>
      </c>
      <c r="N16" s="53" t="s">
        <v>314</v>
      </c>
      <c r="O16" s="53" t="s">
        <v>315</v>
      </c>
      <c r="P16" s="53" t="s">
        <v>316</v>
      </c>
    </row>
    <row r="17" customFormat="false" ht="21.75" hidden="false" customHeight="true" outlineLevel="0" collapsed="false">
      <c r="B17" s="54" t="s">
        <v>25</v>
      </c>
      <c r="C17" s="55" t="s">
        <v>317</v>
      </c>
      <c r="D17" s="56" t="n">
        <v>0.4</v>
      </c>
      <c r="E17" s="56" t="n">
        <v>0.35</v>
      </c>
      <c r="F17" s="56" t="n">
        <v>0.25</v>
      </c>
      <c r="G17" s="56" t="n">
        <v>0.2</v>
      </c>
      <c r="H17" s="56" t="n">
        <v>0.15</v>
      </c>
      <c r="I17" s="56" t="n">
        <v>0.05</v>
      </c>
      <c r="J17" s="57"/>
      <c r="K17" s="58" t="str">
        <f aca="false">IF(ISNUMBER(J17),D17*J17,"")</f>
        <v/>
      </c>
      <c r="L17" s="58" t="str">
        <f aca="false">IF(ISNUMBER(J17),E17*J17,"")</f>
        <v/>
      </c>
      <c r="M17" s="58" t="str">
        <f aca="false">IF(ISNUMBER(J17),F17*J17,"")</f>
        <v/>
      </c>
      <c r="N17" s="58" t="str">
        <f aca="false">IF(ISNUMBER(J17),G17*J17,"")</f>
        <v/>
      </c>
      <c r="O17" s="58" t="str">
        <f aca="false">IF(ISNUMBER(J17),H17*J17,"")</f>
        <v/>
      </c>
      <c r="P17" s="58" t="str">
        <f aca="false">IF(ISNUMBER(J17),I17*J17,"")</f>
        <v/>
      </c>
    </row>
    <row r="18" customFormat="false" ht="21.75" hidden="false" customHeight="true" outlineLevel="0" collapsed="false">
      <c r="B18" s="59" t="s">
        <v>318</v>
      </c>
      <c r="C18" s="60" t="s">
        <v>319</v>
      </c>
      <c r="D18" s="61" t="n">
        <v>0.2</v>
      </c>
      <c r="E18" s="61" t="n">
        <v>0.25</v>
      </c>
      <c r="F18" s="61" t="n">
        <v>0.3</v>
      </c>
      <c r="G18" s="61" t="n">
        <v>0.3</v>
      </c>
      <c r="H18" s="61" t="n">
        <v>0.3</v>
      </c>
      <c r="I18" s="61" t="n">
        <v>0.2</v>
      </c>
      <c r="J18" s="57"/>
      <c r="K18" s="62" t="str">
        <f aca="false">IF(ISNUMBER(J18),D18*J18,"")</f>
        <v/>
      </c>
      <c r="L18" s="62" t="str">
        <f aca="false">IF(ISNUMBER(J18),E18*J18,"")</f>
        <v/>
      </c>
      <c r="M18" s="62" t="str">
        <f aca="false">IF(ISNUMBER(J18),F18*J18,"")</f>
        <v/>
      </c>
      <c r="N18" s="62" t="str">
        <f aca="false">IF(ISNUMBER(J18),G18*J18,"")</f>
        <v/>
      </c>
      <c r="O18" s="62" t="str">
        <f aca="false">IF(ISNUMBER(J18),H18*J18,"")</f>
        <v/>
      </c>
      <c r="P18" s="62" t="str">
        <f aca="false">IF(ISNUMBER(J18),I18*J18,"")</f>
        <v/>
      </c>
    </row>
    <row r="19" customFormat="false" ht="21.75" hidden="false" customHeight="true" outlineLevel="0" collapsed="false">
      <c r="B19" s="63" t="s">
        <v>320</v>
      </c>
      <c r="C19" s="64" t="s">
        <v>321</v>
      </c>
      <c r="D19" s="65" t="n">
        <v>0.15</v>
      </c>
      <c r="E19" s="65" t="n">
        <v>0.15</v>
      </c>
      <c r="F19" s="65" t="n">
        <v>0.2</v>
      </c>
      <c r="G19" s="65" t="n">
        <v>0.15</v>
      </c>
      <c r="H19" s="65" t="n">
        <v>0.15</v>
      </c>
      <c r="I19" s="65" t="n">
        <v>0.15</v>
      </c>
      <c r="J19" s="57"/>
      <c r="K19" s="66" t="str">
        <f aca="false">IF(ISNUMBER(J19),D19*J19,"")</f>
        <v/>
      </c>
      <c r="L19" s="66" t="str">
        <f aca="false">IF(ISNUMBER(J19),E19*J19,"")</f>
        <v/>
      </c>
      <c r="M19" s="66" t="str">
        <f aca="false">IF(ISNUMBER(J19),F19*J19,"")</f>
        <v/>
      </c>
      <c r="N19" s="66" t="str">
        <f aca="false">IF(ISNUMBER(J19),G19*J19,"")</f>
        <v/>
      </c>
      <c r="O19" s="66" t="str">
        <f aca="false">IF(ISNUMBER(J19),H19*J19,"")</f>
        <v/>
      </c>
      <c r="P19" s="66" t="str">
        <f aca="false">IF(ISNUMBER(J19),I19*J19,"")</f>
        <v/>
      </c>
    </row>
    <row r="20" customFormat="false" ht="21.75" hidden="false" customHeight="true" outlineLevel="0" collapsed="false">
      <c r="B20" s="67" t="s">
        <v>322</v>
      </c>
      <c r="C20" s="68" t="s">
        <v>323</v>
      </c>
      <c r="D20" s="69" t="n">
        <v>0.15</v>
      </c>
      <c r="E20" s="69" t="n">
        <v>0.15</v>
      </c>
      <c r="F20" s="69" t="n">
        <v>0.15</v>
      </c>
      <c r="G20" s="69" t="n">
        <v>0.2</v>
      </c>
      <c r="H20" s="69" t="n">
        <v>0.25</v>
      </c>
      <c r="I20" s="69" t="n">
        <v>0.35</v>
      </c>
      <c r="J20" s="57"/>
      <c r="K20" s="70" t="str">
        <f aca="false">IF(ISNUMBER(J20),D20*J20,"")</f>
        <v/>
      </c>
      <c r="L20" s="70" t="str">
        <f aca="false">IF(ISNUMBER(J20),E20*J20,"")</f>
        <v/>
      </c>
      <c r="M20" s="70" t="str">
        <f aca="false">IF(ISNUMBER(J20),F20*J20,"")</f>
        <v/>
      </c>
      <c r="N20" s="70" t="str">
        <f aca="false">IF(ISNUMBER(J20),G20*J20,"")</f>
        <v/>
      </c>
      <c r="O20" s="70" t="str">
        <f aca="false">IF(ISNUMBER(J20),H20*J20,"")</f>
        <v/>
      </c>
      <c r="P20" s="70" t="str">
        <f aca="false">IF(ISNUMBER(J20),I20*J20,"")</f>
        <v/>
      </c>
    </row>
    <row r="21" customFormat="false" ht="21.75" hidden="false" customHeight="true" outlineLevel="0" collapsed="false">
      <c r="B21" s="71" t="s">
        <v>324</v>
      </c>
      <c r="C21" s="72" t="s">
        <v>325</v>
      </c>
      <c r="D21" s="73" t="n">
        <v>0.1</v>
      </c>
      <c r="E21" s="73" t="n">
        <v>0.1</v>
      </c>
      <c r="F21" s="73" t="n">
        <v>0.1</v>
      </c>
      <c r="G21" s="73" t="n">
        <v>0.15</v>
      </c>
      <c r="H21" s="73" t="n">
        <v>0.15</v>
      </c>
      <c r="I21" s="73" t="n">
        <v>0.25</v>
      </c>
      <c r="J21" s="57"/>
      <c r="K21" s="74" t="str">
        <f aca="false">IF(ISNUMBER(J21),D21*J21,"")</f>
        <v/>
      </c>
      <c r="L21" s="74" t="str">
        <f aca="false">IF(ISNUMBER(J21),E21*J21,"")</f>
        <v/>
      </c>
      <c r="M21" s="74" t="str">
        <f aca="false">IF(ISNUMBER(J21),F21*J21,"")</f>
        <v/>
      </c>
      <c r="N21" s="74" t="str">
        <f aca="false">IF(ISNUMBER(J21),G21*J21,"")</f>
        <v/>
      </c>
      <c r="O21" s="74" t="str">
        <f aca="false">IF(ISNUMBER(J21),H21*J21,"")</f>
        <v/>
      </c>
      <c r="P21" s="74" t="str">
        <f aca="false">IF(ISNUMBER(J21),I21*J21,"")</f>
        <v/>
      </c>
    </row>
    <row r="23" customFormat="false" ht="21.75" hidden="false" customHeight="true" outlineLevel="0" collapsed="false">
      <c r="B23" s="75" t="s">
        <v>326</v>
      </c>
      <c r="C23" s="75"/>
      <c r="D23" s="75"/>
      <c r="E23" s="75"/>
    </row>
    <row r="24" customFormat="false" ht="19.5" hidden="false" customHeight="true" outlineLevel="0" collapsed="false">
      <c r="B24" s="49" t="s">
        <v>40</v>
      </c>
      <c r="C24" s="76" t="n">
        <f aca="false">SUM(K17:K21)</f>
        <v>0</v>
      </c>
    </row>
    <row r="25" customFormat="false" ht="19.5" hidden="false" customHeight="true" outlineLevel="0" collapsed="false">
      <c r="B25" s="49" t="s">
        <v>44</v>
      </c>
      <c r="C25" s="76" t="n">
        <f aca="false">SUM(L17:L21)</f>
        <v>0</v>
      </c>
    </row>
    <row r="26" customFormat="false" ht="19.5" hidden="false" customHeight="true" outlineLevel="0" collapsed="false">
      <c r="B26" s="49" t="s">
        <v>327</v>
      </c>
      <c r="C26" s="76" t="n">
        <f aca="false">SUM(M17:M21)</f>
        <v>0</v>
      </c>
    </row>
    <row r="27" customFormat="false" ht="19.5" hidden="false" customHeight="true" outlineLevel="0" collapsed="false">
      <c r="B27" s="49" t="s">
        <v>52</v>
      </c>
      <c r="C27" s="76" t="n">
        <f aca="false">SUM(N17:N21)</f>
        <v>0</v>
      </c>
    </row>
    <row r="28" customFormat="false" ht="19.5" hidden="false" customHeight="true" outlineLevel="0" collapsed="false">
      <c r="B28" s="49" t="s">
        <v>56</v>
      </c>
      <c r="C28" s="76" t="n">
        <f aca="false">SUM(O17:O21)</f>
        <v>0</v>
      </c>
    </row>
    <row r="29" customFormat="false" ht="19.5" hidden="false" customHeight="true" outlineLevel="0" collapsed="false">
      <c r="B29" s="49" t="s">
        <v>60</v>
      </c>
      <c r="C29" s="76" t="n">
        <f aca="false">SUM(P17:P21)</f>
        <v>0</v>
      </c>
    </row>
    <row r="31" customFormat="false" ht="18" hidden="false" customHeight="true" outlineLevel="0" collapsed="false">
      <c r="B31" s="77" t="s">
        <v>328</v>
      </c>
      <c r="C31" s="77"/>
      <c r="D31" s="77"/>
      <c r="E31" s="77"/>
      <c r="F31" s="77"/>
      <c r="G31" s="77"/>
      <c r="H31" s="77"/>
      <c r="I31" s="77"/>
      <c r="J31" s="77"/>
      <c r="K31" s="77"/>
      <c r="L31" s="77"/>
      <c r="M31" s="77"/>
      <c r="N31" s="77"/>
    </row>
    <row r="33" customFormat="false" ht="60" hidden="false" customHeight="true" outlineLevel="0" collapsed="false">
      <c r="B33" s="78" t="s">
        <v>329</v>
      </c>
      <c r="C33" s="78"/>
      <c r="D33" s="78"/>
      <c r="E33" s="78"/>
      <c r="F33" s="78"/>
      <c r="G33" s="78"/>
      <c r="H33" s="78"/>
      <c r="I33" s="78"/>
      <c r="J33" s="78"/>
      <c r="K33" s="78"/>
      <c r="L33" s="78"/>
      <c r="M33" s="78"/>
      <c r="N33" s="78"/>
    </row>
  </sheetData>
  <mergeCells count="6">
    <mergeCell ref="B2:N2"/>
    <mergeCell ref="F5:N8"/>
    <mergeCell ref="B15:N15"/>
    <mergeCell ref="B23:E23"/>
    <mergeCell ref="B31:N31"/>
    <mergeCell ref="B33:N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2"/>
    <col collapsed="false" customWidth="true" hidden="false" outlineLevel="0" max="4" min="4" style="0" width="24"/>
    <col collapsed="false" customWidth="true" hidden="false" outlineLevel="0" max="8" min="5" style="0" width="16"/>
    <col collapsed="false" customWidth="true" hidden="false" outlineLevel="0" max="9" min="9" style="0" width="22"/>
    <col collapsed="false" customWidth="true" hidden="false" outlineLevel="0" max="10" min="10" style="0" width="20"/>
    <col collapsed="false" customWidth="true" hidden="false" outlineLevel="0" max="12" min="11" style="0" width="14"/>
    <col collapsed="false" customWidth="true" hidden="false" outlineLevel="0" max="13" min="13" style="0" width="30"/>
  </cols>
  <sheetData>
    <row r="2" customFormat="false" ht="25.5" hidden="false" customHeight="true" outlineLevel="0" collapsed="false">
      <c r="B2" s="17" t="s">
        <v>330</v>
      </c>
      <c r="C2" s="17"/>
      <c r="D2" s="17"/>
      <c r="E2" s="17"/>
      <c r="F2" s="17"/>
      <c r="G2" s="17"/>
      <c r="H2" s="17"/>
      <c r="I2" s="17"/>
      <c r="J2" s="17"/>
      <c r="K2" s="17"/>
      <c r="L2" s="17"/>
      <c r="M2" s="17"/>
    </row>
    <row r="4" customFormat="false" ht="54.75" hidden="false" customHeight="true" outlineLevel="0" collapsed="false">
      <c r="B4" s="78" t="s">
        <v>331</v>
      </c>
      <c r="C4" s="78"/>
      <c r="D4" s="78"/>
      <c r="E4" s="78"/>
      <c r="F4" s="78"/>
      <c r="G4" s="78"/>
      <c r="H4" s="78"/>
      <c r="I4" s="78"/>
      <c r="J4" s="78"/>
      <c r="K4" s="78"/>
      <c r="L4" s="78"/>
      <c r="M4" s="78"/>
    </row>
    <row r="5" customFormat="false" ht="15" hidden="false" customHeight="false" outlineLevel="0" collapsed="false">
      <c r="B5" s="78"/>
      <c r="C5" s="78"/>
      <c r="D5" s="78"/>
      <c r="E5" s="78"/>
      <c r="F5" s="78"/>
      <c r="G5" s="78"/>
      <c r="H5" s="78"/>
      <c r="I5" s="78"/>
      <c r="J5" s="78"/>
      <c r="K5" s="78"/>
      <c r="L5" s="78"/>
      <c r="M5" s="78"/>
    </row>
    <row r="7" customFormat="false" ht="49.5" hidden="false" customHeight="true" outlineLevel="0" collapsed="false">
      <c r="B7" s="19" t="s">
        <v>332</v>
      </c>
      <c r="C7" s="19" t="s">
        <v>333</v>
      </c>
      <c r="D7" s="19" t="s">
        <v>334</v>
      </c>
      <c r="E7" s="19" t="s">
        <v>335</v>
      </c>
      <c r="F7" s="19" t="s">
        <v>336</v>
      </c>
      <c r="G7" s="19" t="s">
        <v>337</v>
      </c>
      <c r="H7" s="19" t="s">
        <v>338</v>
      </c>
      <c r="I7" s="19" t="s">
        <v>339</v>
      </c>
      <c r="J7" s="19" t="s">
        <v>340</v>
      </c>
      <c r="K7" s="19" t="s">
        <v>341</v>
      </c>
      <c r="L7" s="19" t="s">
        <v>342</v>
      </c>
      <c r="M7" s="19" t="s">
        <v>343</v>
      </c>
    </row>
    <row r="8" customFormat="false" ht="21.75" hidden="false" customHeight="true" outlineLevel="0" collapsed="false">
      <c r="B8" s="79"/>
      <c r="C8" s="79"/>
      <c r="D8" s="79"/>
      <c r="E8" s="79"/>
      <c r="F8" s="79"/>
      <c r="G8" s="79"/>
      <c r="H8" s="79"/>
      <c r="I8" s="79"/>
      <c r="J8" s="79"/>
      <c r="K8" s="79"/>
      <c r="L8" s="79"/>
      <c r="M8" s="79"/>
    </row>
    <row r="9" customFormat="false" ht="21.75" hidden="false" customHeight="true" outlineLevel="0" collapsed="false">
      <c r="B9" s="80"/>
      <c r="C9" s="80"/>
      <c r="D9" s="80"/>
      <c r="E9" s="80"/>
      <c r="F9" s="80"/>
      <c r="G9" s="80"/>
      <c r="H9" s="80"/>
      <c r="I9" s="80"/>
      <c r="J9" s="80"/>
      <c r="K9" s="80"/>
      <c r="L9" s="80"/>
      <c r="M9" s="80"/>
    </row>
    <row r="10" customFormat="false" ht="21.75" hidden="false" customHeight="true" outlineLevel="0" collapsed="false">
      <c r="B10" s="79"/>
      <c r="C10" s="79"/>
      <c r="D10" s="79"/>
      <c r="E10" s="79"/>
      <c r="F10" s="79"/>
      <c r="G10" s="79"/>
      <c r="H10" s="79"/>
      <c r="I10" s="79"/>
      <c r="J10" s="79"/>
      <c r="K10" s="79"/>
      <c r="L10" s="79"/>
      <c r="M10" s="79"/>
    </row>
    <row r="11" customFormat="false" ht="21.75" hidden="false" customHeight="true" outlineLevel="0" collapsed="false">
      <c r="B11" s="80"/>
      <c r="C11" s="80"/>
      <c r="D11" s="80"/>
      <c r="E11" s="80"/>
      <c r="F11" s="80"/>
      <c r="G11" s="80"/>
      <c r="H11" s="80"/>
      <c r="I11" s="80"/>
      <c r="J11" s="80"/>
      <c r="K11" s="80"/>
      <c r="L11" s="80"/>
      <c r="M11" s="80"/>
    </row>
    <row r="12" customFormat="false" ht="21.75" hidden="false" customHeight="true" outlineLevel="0" collapsed="false">
      <c r="B12" s="79"/>
      <c r="C12" s="79"/>
      <c r="D12" s="79"/>
      <c r="E12" s="79"/>
      <c r="F12" s="79"/>
      <c r="G12" s="79"/>
      <c r="H12" s="79"/>
      <c r="I12" s="79"/>
      <c r="J12" s="79"/>
      <c r="K12" s="79"/>
      <c r="L12" s="79"/>
      <c r="M12" s="79"/>
    </row>
    <row r="13" customFormat="false" ht="21.75" hidden="false" customHeight="true" outlineLevel="0" collapsed="false">
      <c r="B13" s="80"/>
      <c r="C13" s="80"/>
      <c r="D13" s="80"/>
      <c r="E13" s="80"/>
      <c r="F13" s="80"/>
      <c r="G13" s="80"/>
      <c r="H13" s="80"/>
      <c r="I13" s="80"/>
      <c r="J13" s="80"/>
      <c r="K13" s="80"/>
      <c r="L13" s="80"/>
      <c r="M13" s="80"/>
    </row>
    <row r="14" customFormat="false" ht="21.75" hidden="false" customHeight="true" outlineLevel="0" collapsed="false">
      <c r="B14" s="79"/>
      <c r="C14" s="79"/>
      <c r="D14" s="79"/>
      <c r="E14" s="79"/>
      <c r="F14" s="79"/>
      <c r="G14" s="79"/>
      <c r="H14" s="79"/>
      <c r="I14" s="79"/>
      <c r="J14" s="79"/>
      <c r="K14" s="79"/>
      <c r="L14" s="79"/>
      <c r="M14" s="79"/>
    </row>
    <row r="15" customFormat="false" ht="21.75" hidden="false" customHeight="true" outlineLevel="0" collapsed="false">
      <c r="B15" s="80"/>
      <c r="C15" s="80"/>
      <c r="D15" s="80"/>
      <c r="E15" s="80"/>
      <c r="F15" s="80"/>
      <c r="G15" s="80"/>
      <c r="H15" s="80"/>
      <c r="I15" s="80"/>
      <c r="J15" s="80"/>
      <c r="K15" s="80"/>
      <c r="L15" s="80"/>
      <c r="M15" s="80"/>
    </row>
    <row r="16" customFormat="false" ht="21.75" hidden="false" customHeight="true" outlineLevel="0" collapsed="false">
      <c r="B16" s="79"/>
      <c r="C16" s="79"/>
      <c r="D16" s="79"/>
      <c r="E16" s="79"/>
      <c r="F16" s="79"/>
      <c r="G16" s="79"/>
      <c r="H16" s="79"/>
      <c r="I16" s="79"/>
      <c r="J16" s="79"/>
      <c r="K16" s="79"/>
      <c r="L16" s="79"/>
      <c r="M16" s="79"/>
    </row>
    <row r="17" customFormat="false" ht="21.75" hidden="false" customHeight="true" outlineLevel="0" collapsed="false">
      <c r="B17" s="80"/>
      <c r="C17" s="80"/>
      <c r="D17" s="80"/>
      <c r="E17" s="80"/>
      <c r="F17" s="80"/>
      <c r="G17" s="80"/>
      <c r="H17" s="80"/>
      <c r="I17" s="80"/>
      <c r="J17" s="80"/>
      <c r="K17" s="80"/>
      <c r="L17" s="80"/>
      <c r="M17" s="80"/>
    </row>
    <row r="18" customFormat="false" ht="21.75" hidden="false" customHeight="true" outlineLevel="0" collapsed="false">
      <c r="B18" s="79"/>
      <c r="C18" s="79"/>
      <c r="D18" s="79"/>
      <c r="E18" s="79"/>
      <c r="F18" s="79"/>
      <c r="G18" s="79"/>
      <c r="H18" s="79"/>
      <c r="I18" s="79"/>
      <c r="J18" s="79"/>
      <c r="K18" s="79"/>
      <c r="L18" s="79"/>
      <c r="M18" s="79"/>
    </row>
    <row r="19" customFormat="false" ht="21.75" hidden="false" customHeight="true" outlineLevel="0" collapsed="false">
      <c r="B19" s="80"/>
      <c r="C19" s="80"/>
      <c r="D19" s="80"/>
      <c r="E19" s="80"/>
      <c r="F19" s="80"/>
      <c r="G19" s="80"/>
      <c r="H19" s="80"/>
      <c r="I19" s="80"/>
      <c r="J19" s="80"/>
      <c r="K19" s="80"/>
      <c r="L19" s="80"/>
      <c r="M19" s="80"/>
    </row>
    <row r="20" customFormat="false" ht="21.75" hidden="false" customHeight="true" outlineLevel="0" collapsed="false">
      <c r="B20" s="79"/>
      <c r="C20" s="79"/>
      <c r="D20" s="79"/>
      <c r="E20" s="79"/>
      <c r="F20" s="79"/>
      <c r="G20" s="79"/>
      <c r="H20" s="79"/>
      <c r="I20" s="79"/>
      <c r="J20" s="79"/>
      <c r="K20" s="79"/>
      <c r="L20" s="79"/>
      <c r="M20" s="79"/>
    </row>
    <row r="21" customFormat="false" ht="21.75" hidden="false" customHeight="true" outlineLevel="0" collapsed="false">
      <c r="B21" s="80"/>
      <c r="C21" s="80"/>
      <c r="D21" s="80"/>
      <c r="E21" s="80"/>
      <c r="F21" s="80"/>
      <c r="G21" s="80"/>
      <c r="H21" s="80"/>
      <c r="I21" s="80"/>
      <c r="J21" s="80"/>
      <c r="K21" s="80"/>
      <c r="L21" s="80"/>
      <c r="M21" s="80"/>
    </row>
    <row r="22" customFormat="false" ht="21.75" hidden="false" customHeight="true" outlineLevel="0" collapsed="false">
      <c r="B22" s="79"/>
      <c r="C22" s="79"/>
      <c r="D22" s="79"/>
      <c r="E22" s="79"/>
      <c r="F22" s="79"/>
      <c r="G22" s="79"/>
      <c r="H22" s="79"/>
      <c r="I22" s="79"/>
      <c r="J22" s="79"/>
      <c r="K22" s="79"/>
      <c r="L22" s="79"/>
      <c r="M22" s="79"/>
    </row>
    <row r="23" customFormat="false" ht="21.75" hidden="false" customHeight="true" outlineLevel="0" collapsed="false">
      <c r="B23" s="80"/>
      <c r="C23" s="80"/>
      <c r="D23" s="80"/>
      <c r="E23" s="80"/>
      <c r="F23" s="80"/>
      <c r="G23" s="80"/>
      <c r="H23" s="80"/>
      <c r="I23" s="80"/>
      <c r="J23" s="80"/>
      <c r="K23" s="80"/>
      <c r="L23" s="80"/>
      <c r="M23" s="80"/>
    </row>
    <row r="24" customFormat="false" ht="21.75" hidden="false" customHeight="true" outlineLevel="0" collapsed="false">
      <c r="B24" s="79"/>
      <c r="C24" s="79"/>
      <c r="D24" s="79"/>
      <c r="E24" s="79"/>
      <c r="F24" s="79"/>
      <c r="G24" s="79"/>
      <c r="H24" s="79"/>
      <c r="I24" s="79"/>
      <c r="J24" s="79"/>
      <c r="K24" s="79"/>
      <c r="L24" s="79"/>
      <c r="M24" s="79"/>
    </row>
    <row r="25" customFormat="false" ht="21.75" hidden="false" customHeight="true" outlineLevel="0" collapsed="false">
      <c r="B25" s="80"/>
      <c r="C25" s="80"/>
      <c r="D25" s="80"/>
      <c r="E25" s="80"/>
      <c r="F25" s="80"/>
      <c r="G25" s="80"/>
      <c r="H25" s="80"/>
      <c r="I25" s="80"/>
      <c r="J25" s="80"/>
      <c r="K25" s="80"/>
      <c r="L25" s="80"/>
      <c r="M25" s="80"/>
    </row>
    <row r="26" customFormat="false" ht="21.75" hidden="false" customHeight="true" outlineLevel="0" collapsed="false">
      <c r="B26" s="79"/>
      <c r="C26" s="79"/>
      <c r="D26" s="79"/>
      <c r="E26" s="79"/>
      <c r="F26" s="79"/>
      <c r="G26" s="79"/>
      <c r="H26" s="79"/>
      <c r="I26" s="79"/>
      <c r="J26" s="79"/>
      <c r="K26" s="79"/>
      <c r="L26" s="79"/>
      <c r="M26" s="79"/>
    </row>
    <row r="27" customFormat="false" ht="21.75" hidden="false" customHeight="true" outlineLevel="0" collapsed="false">
      <c r="B27" s="80"/>
      <c r="C27" s="80"/>
      <c r="D27" s="80"/>
      <c r="E27" s="80"/>
      <c r="F27" s="80"/>
      <c r="G27" s="80"/>
      <c r="H27" s="80"/>
      <c r="I27" s="80"/>
      <c r="J27" s="80"/>
      <c r="K27" s="80"/>
      <c r="L27" s="80"/>
      <c r="M27" s="80"/>
    </row>
    <row r="28" customFormat="false" ht="21.75" hidden="false" customHeight="true" outlineLevel="0" collapsed="false">
      <c r="B28" s="79"/>
      <c r="C28" s="79"/>
      <c r="D28" s="79"/>
      <c r="E28" s="79"/>
      <c r="F28" s="79"/>
      <c r="G28" s="79"/>
      <c r="H28" s="79"/>
      <c r="I28" s="79"/>
      <c r="J28" s="79"/>
      <c r="K28" s="79"/>
      <c r="L28" s="79"/>
      <c r="M28" s="79"/>
    </row>
    <row r="29" customFormat="false" ht="21.75" hidden="false" customHeight="true" outlineLevel="0" collapsed="false">
      <c r="B29" s="80"/>
      <c r="C29" s="80"/>
      <c r="D29" s="80"/>
      <c r="E29" s="80"/>
      <c r="F29" s="80"/>
      <c r="G29" s="80"/>
      <c r="H29" s="80"/>
      <c r="I29" s="80"/>
      <c r="J29" s="80"/>
      <c r="K29" s="80"/>
      <c r="L29" s="80"/>
      <c r="M29" s="80"/>
    </row>
    <row r="30" customFormat="false" ht="21.75" hidden="false" customHeight="true" outlineLevel="0" collapsed="false">
      <c r="B30" s="79"/>
      <c r="C30" s="79"/>
      <c r="D30" s="79"/>
      <c r="E30" s="79"/>
      <c r="F30" s="79"/>
      <c r="G30" s="79"/>
      <c r="H30" s="79"/>
      <c r="I30" s="79"/>
      <c r="J30" s="79"/>
      <c r="K30" s="79"/>
      <c r="L30" s="79"/>
      <c r="M30" s="79"/>
    </row>
    <row r="31" customFormat="false" ht="21.75" hidden="false" customHeight="true" outlineLevel="0" collapsed="false">
      <c r="B31" s="80"/>
      <c r="C31" s="80"/>
      <c r="D31" s="80"/>
      <c r="E31" s="80"/>
      <c r="F31" s="80"/>
      <c r="G31" s="80"/>
      <c r="H31" s="80"/>
      <c r="I31" s="80"/>
      <c r="J31" s="80"/>
      <c r="K31" s="80"/>
      <c r="L31" s="80"/>
      <c r="M31" s="80"/>
    </row>
    <row r="34" customFormat="false" ht="15" hidden="false" customHeight="false" outlineLevel="0" collapsed="false">
      <c r="B34" s="81" t="s">
        <v>344</v>
      </c>
      <c r="C34" s="81"/>
      <c r="D34" s="81"/>
      <c r="E34" s="81"/>
      <c r="F34" s="81"/>
      <c r="G34" s="81"/>
      <c r="H34" s="81"/>
      <c r="I34" s="81"/>
      <c r="J34" s="81"/>
      <c r="K34" s="81"/>
      <c r="L34" s="81"/>
      <c r="M34" s="81"/>
    </row>
    <row r="35" customFormat="false" ht="19.4" hidden="false" customHeight="false" outlineLevel="0" collapsed="false">
      <c r="B35" s="82" t="s">
        <v>345</v>
      </c>
      <c r="C35" s="82" t="s">
        <v>346</v>
      </c>
      <c r="D35" s="82" t="s">
        <v>347</v>
      </c>
      <c r="E35" s="82" t="s">
        <v>348</v>
      </c>
      <c r="F35" s="82" t="s">
        <v>349</v>
      </c>
    </row>
    <row r="36" customFormat="false" ht="18" hidden="false" customHeight="true" outlineLevel="0" collapsed="false">
      <c r="B36" s="83" t="s">
        <v>6</v>
      </c>
      <c r="C36" s="83" t="s">
        <v>350</v>
      </c>
      <c r="D36" s="83" t="s">
        <v>351</v>
      </c>
      <c r="E36" s="83" t="s">
        <v>352</v>
      </c>
      <c r="F36" s="83" t="s">
        <v>353</v>
      </c>
    </row>
  </sheetData>
  <mergeCells count="3">
    <mergeCell ref="B2:M2"/>
    <mergeCell ref="B4:M5"/>
    <mergeCell ref="B34:M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2026-05-14T16:21:43Z</dcterms:created>
  <dc:creator>openpyxl</dc:creator>
  <dc:description/>
  <dc:language>en-US</dc:language>
  <cp:lastModifiedBy/>
  <dcterms:modified xsi:type="dcterms:W3CDTF">2026-05-14T16:21:43Z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