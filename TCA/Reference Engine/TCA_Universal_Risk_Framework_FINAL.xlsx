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cha\OneDrive\Documents\micha\archive\Documents\MRB\Dan Garcia\2678\TokenCap Advisors\Research\"/>
    </mc:Choice>
  </mc:AlternateContent>
  <xr:revisionPtr revIDLastSave="0" documentId="8_{E27CD972-0EE4-4839-90DD-E909AC084DB0}" xr6:coauthVersionLast="47" xr6:coauthVersionMax="47" xr10:uidLastSave="{00000000-0000-0000-0000-000000000000}"/>
  <bookViews>
    <workbookView xWindow="-120" yWindow="-120" windowWidth="29040" windowHeight="15720" xr2:uid="{00000000-000D-0000-FFFF-FFFF00000000}"/>
  </bookViews>
  <sheets>
    <sheet name="Cover" sheetId="1" r:id="rId1"/>
    <sheet name="Universal Stage Weights" sheetId="2" r:id="rId2"/>
    <sheet name="Universal Core Risk Domain" sheetId="3" r:id="rId3"/>
    <sheet name="Universal Scoring Calculator" sheetId="4" r:id="rId4"/>
    <sheet name="Framework Directory" sheetId="5" r:id="rId5"/>
    <sheet name="Audit &amp; RIA Compliance Log"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N2dm/UlFDWln9TBsPahnpuH9ZNe8IbCQ6QjR8K6bZdA="/>
    </ext>
  </extLst>
</workbook>
</file>

<file path=xl/calcChain.xml><?xml version="1.0" encoding="utf-8"?>
<calcChain xmlns="http://schemas.openxmlformats.org/spreadsheetml/2006/main">
  <c r="C24" i="4" l="1"/>
  <c r="J19" i="4"/>
  <c r="I19" i="4"/>
  <c r="H19" i="4"/>
  <c r="J18" i="4"/>
  <c r="I18" i="4"/>
  <c r="H18" i="4"/>
  <c r="J17" i="4"/>
  <c r="I17" i="4"/>
  <c r="C23" i="4" s="1"/>
  <c r="H17" i="4"/>
  <c r="C22" i="4" s="1"/>
  <c r="J16" i="4"/>
  <c r="I16" i="4"/>
  <c r="H16" i="4"/>
  <c r="J15" i="4"/>
  <c r="I15" i="4"/>
  <c r="H15" i="4"/>
  <c r="L36" i="3"/>
  <c r="N36" i="3" s="1"/>
  <c r="L35" i="3"/>
  <c r="N35" i="3" s="1"/>
  <c r="L34" i="3"/>
  <c r="N34" i="3" s="1"/>
  <c r="L33" i="3"/>
  <c r="N33" i="3" s="1"/>
  <c r="L32" i="3"/>
  <c r="N32" i="3" s="1"/>
  <c r="L30" i="3"/>
  <c r="N30" i="3" s="1"/>
  <c r="L29" i="3"/>
  <c r="N29" i="3" s="1"/>
  <c r="L28" i="3"/>
  <c r="N28" i="3" s="1"/>
  <c r="L27" i="3"/>
  <c r="N27" i="3" s="1"/>
  <c r="L26" i="3"/>
  <c r="N26" i="3" s="1"/>
  <c r="L24" i="3"/>
  <c r="N24" i="3" s="1"/>
  <c r="L23" i="3"/>
  <c r="N23" i="3" s="1"/>
  <c r="L22" i="3"/>
  <c r="N22" i="3" s="1"/>
  <c r="L21" i="3"/>
  <c r="N21" i="3" s="1"/>
  <c r="L20" i="3"/>
  <c r="N20" i="3" s="1"/>
  <c r="L18" i="3"/>
  <c r="N18" i="3" s="1"/>
  <c r="L17" i="3"/>
  <c r="N17" i="3" s="1"/>
  <c r="L16" i="3"/>
  <c r="N16" i="3" s="1"/>
  <c r="N15" i="3"/>
  <c r="L15" i="3"/>
  <c r="L14" i="3"/>
  <c r="N14" i="3" s="1"/>
  <c r="L12" i="3"/>
  <c r="N12" i="3" s="1"/>
  <c r="L11" i="3"/>
  <c r="N11" i="3" s="1"/>
  <c r="L10" i="3"/>
  <c r="N10" i="3" s="1"/>
  <c r="L9" i="3"/>
  <c r="N9" i="3" s="1"/>
  <c r="L8" i="3"/>
  <c r="N8" i="3" s="1"/>
  <c r="F12" i="2"/>
  <c r="E12" i="2"/>
  <c r="D12" i="2"/>
</calcChain>
</file>

<file path=xl/sharedStrings.xml><?xml version="1.0" encoding="utf-8"?>
<sst xmlns="http://schemas.openxmlformats.org/spreadsheetml/2006/main" count="565" uniqueCount="473">
  <si>
    <t>TokenCap Advisors LLC  |  TCA Intelligence Framework</t>
  </si>
  <si>
    <t>Universal Cross-Industry Risk Framework</t>
  </si>
  <si>
    <t>Master Reference  |  Version 1.0  |  Effective Date: 2026  |  CONFIDENTIAL — RIA RECORD</t>
  </si>
  <si>
    <t>Document Purpose</t>
  </si>
  <si>
    <t>This workbook is the authoritative TCA Universal Risk Framework — the master cross-industry reference that governs how TCA applies its five-domain risk methodology across all asset classes. It unifies the four vertical-specific frameworks (E&amp;P, Renewables, Real Estate, Technology) into a single governed document, establishing the canonical domain taxonomy, stage-sensitive weighting logic, scoring architecture, and industry-to-domain mapping that all vertical frameworks must conform to. It is a Records &amp; Research artifact subject to SEC Rule 204-2 (17 CFR § 275.204-2) and must be retained for a minimum of five years.</t>
  </si>
  <si>
    <t>Framework Version:</t>
  </si>
  <si>
    <t>TCA-UNIV-001-v1.0</t>
  </si>
  <si>
    <t>Scope:</t>
  </si>
  <si>
    <t>All TCA-covered asset classes: E&amp;P | Renewables | Real Estate | Technology</t>
  </si>
  <si>
    <t>Issuing Function:</t>
  </si>
  <si>
    <t>TCA Research &amp; Investment (R&amp;I) / Chief Risk Officer</t>
  </si>
  <si>
    <t>Methodology Basis:</t>
  </si>
  <si>
    <t>TCA Five-Domain Risk Framework  |  Stage-Sensitive Weighting</t>
  </si>
  <si>
    <t>Regulatory Alignment:</t>
  </si>
  <si>
    <t>Investment Advisers Act 1940  |  SEC Rule 204-2  |  RIA Recordkeeping</t>
  </si>
  <si>
    <t>Retention Requirement:</t>
  </si>
  <si>
    <t>Minimum 5 years — immutable storage</t>
  </si>
  <si>
    <t>Review Cycle:</t>
  </si>
  <si>
    <t>Annual or upon material methodology change — CRO approval required</t>
  </si>
  <si>
    <t>Supersedes:</t>
  </si>
  <si>
    <t>All prior asset-class framework versions must conform to this document</t>
  </si>
  <si>
    <t>Approved by:</t>
  </si>
  <si>
    <t>[CRO Signature / Date]</t>
  </si>
  <si>
    <t>The Five Universal Risk Domains — Canonical Taxonomy</t>
  </si>
  <si>
    <t>Domain ID</t>
  </si>
  <si>
    <t>Universal Domain Name</t>
  </si>
  <si>
    <t>Core Question</t>
  </si>
  <si>
    <t>TCA Code</t>
  </si>
  <si>
    <t>1 — Foundational / Asset Risk</t>
  </si>
  <si>
    <t>Resource, Asset or Market Potential</t>
  </si>
  <si>
    <t>Does a viable, quantifiable asset or demand base exist?</t>
  </si>
  <si>
    <t>FR</t>
  </si>
  <si>
    <t>2 — Technical &amp; Execution Risk</t>
  </si>
  <si>
    <t>Engineering, Build &amp; Operations</t>
  </si>
  <si>
    <t>Can the asset be developed and operated to plan?</t>
  </si>
  <si>
    <t>TE</t>
  </si>
  <si>
    <t>3 — Regulatory &amp; External Risk</t>
  </si>
  <si>
    <t>Permitting, Policy &amp; Legal Exposure</t>
  </si>
  <si>
    <t>Are external constraints manageable and timeline-certain?</t>
  </si>
  <si>
    <t>RE</t>
  </si>
  <si>
    <t>4 — Commercial &amp; Financial Risk</t>
  </si>
  <si>
    <t>Revenue, Economics &amp; Capital</t>
  </si>
  <si>
    <t>Is the business model economically sound and adequately capitalised?</t>
  </si>
  <si>
    <t>CF</t>
  </si>
  <si>
    <t>5 — Infrastructure &amp; Market Risk</t>
  </si>
  <si>
    <t>Delivery, Integration &amp; Monetisation</t>
  </si>
  <si>
    <t>Can the output reach the market and be monetised at target price?</t>
  </si>
  <si>
    <t>IM</t>
  </si>
  <si>
    <t>Industry-to-Domain Translation Matrix</t>
  </si>
  <si>
    <t>TCA Universal Domain</t>
  </si>
  <si>
    <t>E&amp;P Upstream</t>
  </si>
  <si>
    <t>Renewables</t>
  </si>
  <si>
    <t>Real Estate</t>
  </si>
  <si>
    <t>Technology</t>
  </si>
  <si>
    <t>Foundational / Asset Risk (FR)</t>
  </si>
  <si>
    <t>Geological &amp; Reservoir Risk</t>
  </si>
  <si>
    <t>Resource &amp; Energy Yield</t>
  </si>
  <si>
    <t>Location &amp; Market Risk</t>
  </si>
  <si>
    <t>Product-Market Fit</t>
  </si>
  <si>
    <t>Technical &amp; Execution Risk (TE)</t>
  </si>
  <si>
    <t>Drilling &amp; Execution Risk</t>
  </si>
  <si>
    <t>Technical &amp; Construction</t>
  </si>
  <si>
    <t>Development &amp; Construction</t>
  </si>
  <si>
    <t>Technology &amp; Execution</t>
  </si>
  <si>
    <t>Regulatory &amp; External Risk (RE)</t>
  </si>
  <si>
    <t>Regulatory &amp; Environmental</t>
  </si>
  <si>
    <t>Regulatory &amp; Policy</t>
  </si>
  <si>
    <t>Regulatory &amp; Legal</t>
  </si>
  <si>
    <t>Regulatory &amp; Platform</t>
  </si>
  <si>
    <t>Commercial &amp; Financial Risk (CF)</t>
  </si>
  <si>
    <t>Commercial &amp; Financial Risk</t>
  </si>
  <si>
    <t>Commercial &amp; Financial</t>
  </si>
  <si>
    <t>Tenant &amp; Cash Flow</t>
  </si>
  <si>
    <t>Financial &amp; Capital</t>
  </si>
  <si>
    <t>Infrastructure &amp; Market (IM)</t>
  </si>
  <si>
    <t>Infrastructure &amp; Market Risk</t>
  </si>
  <si>
    <t>Infrastructure &amp; Market</t>
  </si>
  <si>
    <t>Capital Markets &amp; Liquidity</t>
  </si>
  <si>
    <t>Competitive &amp; Strategic</t>
  </si>
  <si>
    <t>⚠  RIA Notice (SEC Rule 204-2):  This Universal Framework and all asset-class frameworks derived from it constitute research records of TokenCap Advisors LLC. All scored outputs must be traceable, reproducible, and retained for a minimum of five years. Scoring must be performed within the TCA Risk Engine once operational. Spreadsheet-based assessments are an interim measure only.</t>
  </si>
  <si>
    <t>TCA Universal Framework — Generic Stage-Sensitive Domain Weight Table</t>
  </si>
  <si>
    <t>This table establishes the canonical generic stage weights that apply when no asset-class-specific framework is available, or when evaluating a project that does not fit a defined vertical. Asset-class-specific stage weights in the vertical frameworks take precedence when the asset class is known. Generic stages map to: Stage 1 = Concept/Early (pre-execution); Stage 2 = Defined/Build (active execution); Stage 3 = Operating/Scale (cash-flowing).</t>
  </si>
  <si>
    <t>Risk Domain (Universal)</t>
  </si>
  <si>
    <t>Code</t>
  </si>
  <si>
    <t>Stage 1
(Concept / Early)</t>
  </si>
  <si>
    <t>Stage 2
(Defined / Build)</t>
  </si>
  <si>
    <t>Stage 3
(Operating / Scale)</t>
  </si>
  <si>
    <t>Weighting Rationale</t>
  </si>
  <si>
    <t>DOM_1</t>
  </si>
  <si>
    <t>Concept/Early: foundational asset quality or market demand is the primary source of uncertainty — must be validated before any execution capital is committed.</t>
  </si>
  <si>
    <t>DOM_2</t>
  </si>
  <si>
    <t>Build: execution risk peaks during active construction/development — cost, schedule, and contractor performance dominate value creation and destruction.</t>
  </si>
  <si>
    <t>Regulatory &amp; External Constraint Risk (RE)</t>
  </si>
  <si>
    <t>DOM_3</t>
  </si>
  <si>
    <t>Cross-stage: regulatory and policy risk is always present but peaks at Build when permits must be current; declines once operational permits are secured.</t>
  </si>
  <si>
    <t>DOM_4</t>
  </si>
  <si>
    <t>Operating/Scale: commercial viability and financial sustainability dominate once the asset is operational — pricing, offtake, and capital structure drive returns.</t>
  </si>
  <si>
    <t>Infrastructure, Integration &amp; Market (IM)</t>
  </si>
  <si>
    <t>DOM_5</t>
  </si>
  <si>
    <t>Operating/Scale: infrastructure access and market delivery constraints become the binding constraint at scale — basis, logistics, and market depth define realized value.</t>
  </si>
  <si>
    <t>Sum Check (must = 100%)</t>
  </si>
  <si>
    <t>Cross-Industry Stage Mapping Reference</t>
  </si>
  <si>
    <t>Generic Stage</t>
  </si>
  <si>
    <t>Stage 1 — Concept / Early</t>
  </si>
  <si>
    <t>Virgin Exploration → Prospect Defined</t>
  </si>
  <si>
    <t>Early Development</t>
  </si>
  <si>
    <t>Acquisition</t>
  </si>
  <si>
    <t>Early Stage</t>
  </si>
  <si>
    <t>Stage 2 — Defined / Build</t>
  </si>
  <si>
    <t>Permitted → Drilled &amp; Tested → Development</t>
  </si>
  <si>
    <t>Construction</t>
  </si>
  <si>
    <t>Development / Construction</t>
  </si>
  <si>
    <t>Growth Stage</t>
  </si>
  <si>
    <t>Stage 3 — Operating / Scale</t>
  </si>
  <si>
    <t>Producing Wells (PDP)</t>
  </si>
  <si>
    <t>Operating / Cash-Flowing</t>
  </si>
  <si>
    <t>Stabilized / Operating</t>
  </si>
  <si>
    <t>Mature / Scale Stage</t>
  </si>
  <si>
    <t>TokenCap Advisors LLC  |  TCA Intelligence Framework  |  Universal Cross-Industry — Core Risk Domain Framework</t>
  </si>
  <si>
    <t>Framework Version: TCA-UNIV-001-v1.0  |  Scope: All Asset Classes  |  Regulatory Basis: Investment Advisers Act 1940  |  SEC Rule 204-2  |  Methodology: TCA Five-Domain Risk Framework  |  Use: Apply when asset class is unspecified, novel, or multi-sector</t>
  </si>
  <si>
    <t>SCORING KEY:  Likelihood 0–3  ×  Impact 0–3  =  Inherent Risk (0–9)  |  Residual Risk = Inherent ÷ Control Effectiveness (1=Weak / 2=Adequate / 3=Strong)  |  TCA Grade:  1.0–1.9=TCA-A (Stable)  |  2.0–2.5=TCA-B (Core)  |  2.6–3.2=TCA-C (Opportunistic)  |  3.3–4.0=TCA-D (High-Risk)  |  &gt;4.0=TCA-S (Speculative)  |  For asset-class-specific elements refer to the relevant vertical framework.</t>
  </si>
  <si>
    <t>#</t>
  </si>
  <si>
    <t>Universal Domain
(TCA Taxonomy)</t>
  </si>
  <si>
    <t>Universal Risk Element</t>
  </si>
  <si>
    <t>Description</t>
  </si>
  <si>
    <t>Information Required
(Generic Checklist)</t>
  </si>
  <si>
    <t>Risk Signature
(What Can Go Wrong)</t>
  </si>
  <si>
    <t>Indicative Data Sources
(Generic — see vertical frameworks for specifics)</t>
  </si>
  <si>
    <t>Source Type</t>
  </si>
  <si>
    <t>Likelihood
(0–3)</t>
  </si>
  <si>
    <t>Impact
(0–3)</t>
  </si>
  <si>
    <t>Inherent
Risk</t>
  </si>
  <si>
    <t>Control
Effectiveness
(1–3)</t>
  </si>
  <si>
    <t>Residual
Risk</t>
  </si>
  <si>
    <t>Analyst Guidance / Cross-Industry Notes</t>
  </si>
  <si>
    <t>RIA Recordkeeping
(SEC Rule 204-2)</t>
  </si>
  <si>
    <t xml:space="preserve">  Foundational / Asset Risk (FR)
Resource · Asset · Demand · Market Potential</t>
  </si>
  <si>
    <t>Underlying Asset / Resource
Quantity &amp; Quality</t>
  </si>
  <si>
    <t>Evaluation of the size, quality, and deliverability of the underlying value-generating asset, resource, or demand pool that underpins the investment thesis.</t>
  </si>
  <si>
    <t>Proven/probable resource or asset estimate; historical variability or uncertainty range; analogue performance data; independent certification or validation status</t>
  </si>
  <si>
    <t>Resource uncertainty results in dry holes (E&amp;P), below-P90 energy yield (Renewables), or customer demand that fails to materialise (Technology); over-statement of asset quality is the primary underwriting error</t>
  </si>
  <si>
    <t>E&amp;P: geological surveys, USGS, IHS/Enverus | Renewables: Solargis/NREL, met towers | Real Estate: CoStar demographics, census | Technology: market TAM/SAM research, pilot conversion data</t>
  </si>
  <si>
    <t>Geological / Market / Technical</t>
  </si>
  <si>
    <t>E&amp;P: probability of success (PoS) is the foundational metric. Renewables: P50 vs. P90 spread indicates uncertainty. Real Estate: supply-demand balance drives long-term demand. Tech: PMF validation is binary — confirmed or not.</t>
  </si>
  <si>
    <t>Retain per SEC Rule 204-2 — minimum 5 years</t>
  </si>
  <si>
    <t>Rights, Access &amp;
Ownership Certainty</t>
  </si>
  <si>
    <t>Confirmation that clear, exclusive, and legally defensible rights to access and exploit the underlying asset or market have been secured.</t>
  </si>
  <si>
    <t>Title/mineral rights ownership; lease or offtake agreement status; right-of-way and easement completeness; IP protection (Technology); competitive exclusivity; access constraints or encumbrances</t>
  </si>
  <si>
    <t>Title defects, contested mineral rights, or IP ownership disputes halt investment; competitive access by a faster-moving player eliminates market opportunity</t>
  </si>
  <si>
    <t>E&amp;P: title opinions, state commission records | Renewables: easement agreements, interconnection queue | Real Estate: ALTA title, deed records | Technology: patent portfolio, FTO opinion</t>
  </si>
  <si>
    <t>Legal / Commercial</t>
  </si>
  <si>
    <t>Rights and access must be confirmed before capital commitment — a MDSC gatekeeping requirement across all verticals. Distinguish secured rights from LOIs or unexecuted agreements.</t>
  </si>
  <si>
    <t>Asset / Market Maturity
&amp; Analogue Validation</t>
  </si>
  <si>
    <t>Assessment of the maturity of the underlying asset class, technology, or market, and the degree to which analogous projects validate the investment thesis.</t>
  </si>
  <si>
    <t>Basin/market maturity classification; number of analogous proven projects; historical success rate of comparable investments; data density of existing analogue dataset</t>
  </si>
  <si>
    <t>Frontier assets (no analogues) carry binary risk — loss or multi-bagger; over-reliance on single analogue in a different geological or market context produces false confidence</t>
  </si>
  <si>
    <t>E&amp;P: basin studies, USGS assessments | Renewables: adjacent project actuals, NREL benchmarks | Real Estate: comparable transactions, appraisals | Technology: industry analyst reports, competitor cohort data</t>
  </si>
  <si>
    <t>Technical / Market</t>
  </si>
  <si>
    <t>E&amp;P: mature basin = TCA-A/B geological risk; frontier = TCA-D/S. Tech: pre-revenue, no cohort data = speculative. Document analogue selection rationale and limitations explicitly.</t>
  </si>
  <si>
    <t>Demand Validation &amp;
Market Absorption Capacity</t>
  </si>
  <si>
    <t>Evidence that sufficient demand exists in the target market to absorb the project's output at projected prices and within the projected timeline.</t>
  </si>
  <si>
    <t>Addressable market size (TAM/SAM); demand growth forecast methodology; absorption rate data; customer/offtaker interest evidence (LOIs, signed contracts, pilots); competitive supply pipeline</t>
  </si>
  <si>
    <t>Oversupply conditions suppress pricing below project breakeven; demand falls short of projections; addressable market is smaller than assumed; competitive new supply destroys returns</t>
  </si>
  <si>
    <t>E&amp;P: EIA supply/demand forecasts | Renewables: ISO load growth, SEIA forecasts | Real Estate: CoStar, JLL absorption data | Technology: paid pilot conversion, ARR growth, churn data</t>
  </si>
  <si>
    <t>Market / Commercial</t>
  </si>
  <si>
    <t>Distinguish signed offtake/contracts from indicative demand. Require bottom-up demand validation, not only top-down market sizing. Flag if projected market share &gt;20% of TAM — assumption credibility risk.</t>
  </si>
  <si>
    <t>Data Density &amp;
Information Sufficiency</t>
  </si>
  <si>
    <t>Adequacy of the information base supporting the foundational asset or market assessment, including data quality, recency, independence, and coverage.</t>
  </si>
  <si>
    <t>Data collection campaign completeness; third-party/independent validation status; data recovery rate; vintage of primary data; coverage gaps; MDSC satisfaction status</t>
  </si>
  <si>
    <t>Insufficient data leads to high model uncertainty; lenders or co-investors reject the information package; false confidence from low-quality data produces systematic underwriting errors</t>
  </si>
  <si>
    <t>E&amp;P: seismic coverage, well logs, IE reports | Renewables: met tower data, independent energy assessment | Real Estate: appraisal date, comparable recency | Technology: cohort size, sample representativeness</t>
  </si>
  <si>
    <t>Technical / Regulatory</t>
  </si>
  <si>
    <t>Minimum Data Sufficiency Control (MDSC) must be satisfied before a project advances in TCA pipeline. Document data gaps and flag as open triggers if material. Independent third-party validation required for all capital-stage assessments.</t>
  </si>
  <si>
    <t xml:space="preserve">  Technical &amp; Execution Risk (TE)
Engineering · Build · Operations · Team Capability</t>
  </si>
  <si>
    <t>Design Maturity &amp;
Technology Readiness</t>
  </si>
  <si>
    <t>Degree to which the technical design, engineering, or product is proven, finalised, and appropriate for the asset's specific conditions.</t>
  </si>
  <si>
    <t>Technology Readiness Level (TRL); design freeze status; engineering completion percentage; MVP/prototype validation (Technology); pilot or test well results; third-party engineering review</t>
  </si>
  <si>
    <t>Low TRL (&lt;7 for physical assets) or incomplete MVP results in redesign loops, cost overruns, and schedule slippage; unproven technology in commercial deployment creates first-of-a-kind risk premium</t>
  </si>
  <si>
    <t>E&amp;P: drilling program, IE review | Renewables: independent engineer bankability report | Real Estate: architect/engineer drawings | Technology: product roadmap, engineering architecture review</t>
  </si>
  <si>
    <t>Technical / Engineering</t>
  </si>
  <si>
    <t>Low TRL is the single most common source of project failure in physical asset classes. Technology: incomplete MVP with no paying customers = speculative. Require independent engineer sign-off for all capital-stage projects.</t>
  </si>
  <si>
    <t>Execution Track Record
&amp; Team Capability</t>
  </si>
  <si>
    <t>Assessment of the sponsor, operator, or management team's demonstrated ability to execute comparable projects on time, on budget, and to standard.</t>
  </si>
  <si>
    <t>Comparable projects completed (number and scale); on-time and on-budget track record; key team member CVs and reference checks; financial capacity for program obligations; safety record</t>
  </si>
  <si>
    <t>Inexperienced team in unfamiliar asset class or geography makes systematic poor decisions; key person departure causes knowledge loss and investor confidence collapse</t>
  </si>
  <si>
    <t>E&amp;P: operator state records, Enverus performance data | Renewables: EPC references, DNV certification | Real Estate: developer project history | Technology: founder reference checks, prior exits</t>
  </si>
  <si>
    <t>Operational / Human Capital</t>
  </si>
  <si>
    <t>Require minimum 3 professional reference checks per key sponsor/founder. Track record in the specific asset class and geography matters — adjacent experience does not fully transfer.</t>
  </si>
  <si>
    <t>Schedule, Cost &amp; Budget
Integrity</t>
  </si>
  <si>
    <t>Credibility of the project schedule and cost estimate, adequacy of contingency reserves, and historical cost performance of the executing team.</t>
  </si>
  <si>
    <t>Detailed budget breakdown; contingency % (benchmark varies by asset class: 10–20%); AFE or capex estimate vs. market benchmarks; change order/overrun history; critical path schedule analysis</t>
  </si>
  <si>
    <t>Cost overruns force additional capital calls and dilute IRR; schedule slippage increases carry cost and may trigger contract penalties; budget exhaustion before completion forces distressed financing</t>
  </si>
  <si>
    <t>E&amp;P: AFE vs. Enverus basin benchmarks | Renewables: EPC lump-sum vs. cost-plus | Real Estate: quantity surveyor, Turner cost index | Technology: burn multiple, spend vs. plan</t>
  </si>
  <si>
    <t>Financial / Technical</t>
  </si>
  <si>
    <t>Require independent cost validation for projects &gt;$10M. Contingency &lt;10% on complex projects is insufficient. Flag if sponsor's budget is &gt;15% below market benchmark without documented justification.</t>
  </si>
  <si>
    <t>Operational Performance
&amp; Asset Availability</t>
  </si>
  <si>
    <t>For operating or near-operating assets, the reliability, uptime, and efficiency of the asset relative to design specifications and industry benchmarks.</t>
  </si>
  <si>
    <t>Availability factor (%); capacity factor vs. P50 design; degradation rate; maintenance plan adequacy; O&amp;M cost vs. benchmark; SCADA/monitoring data; operator KPI reporting</t>
  </si>
  <si>
    <t>Chronic underperformance relative to type curve or design spec erodes returns and debt coverage; poor O&amp;M accelerates degradation; inadequate monitoring masks early-warning signals</t>
  </si>
  <si>
    <t>E&amp;P: Enverus production data, SCADA | Renewables: plant SCADA, OEM warranty claims | Real Estate: property management reports, occupancy data | Technology: product uptime, DORA metrics</t>
  </si>
  <si>
    <t>Technical / Operational</t>
  </si>
  <si>
    <t>Use P90 operational case, not P50, for debt sizing. Require access to SCADA/operational data for IE or TCA analyst review. Flag if actual performance is &gt;10% below design for operating assets.</t>
  </si>
  <si>
    <t>Supply Chain, Key Inputs
&amp; Critical Path Risks</t>
  </si>
  <si>
    <t>Exposure to supply chain disruptions, long-lead equipment procurement risks, and critical dependencies that could delay or increase the cost of execution.</t>
  </si>
  <si>
    <t>Long-lead equipment identification and delivery status; supplier concentration; critical path constraint identification; import/tariff exposure; labour availability in the project area</t>
  </si>
  <si>
    <t>Supply chain disruption causes COD delay and carry cost escalation; tariff changes increase equipment cost post-commitment; labour shortages inflate completion costs</t>
  </si>
  <si>
    <t>E&amp;P: rig availability (Rigzone), proppant supply | Renewables: UFLPA compliance, transformer lead times | Real Estate: material cost indices (RSMeans) | Technology: cloud provider dependency, API concentration</t>
  </si>
  <si>
    <t>Operational / Market</t>
  </si>
  <si>
    <t>Identify the top-3 critical path supply chain dependencies and document contingency plans. Transformer lead times of 52+ weeks are a universal risk for power-connected assets. UFLPA compliance is essential for solar.</t>
  </si>
  <si>
    <t xml:space="preserve">  Regulatory &amp; External Constraint Risk (RE)
Permitting · Policy · Legal · Environmental · Compliance</t>
  </si>
  <si>
    <t>Permitting Status &amp;
Approval Timeline</t>
  </si>
  <si>
    <t>Status and expected timeline of all permits, approvals, and regulatory filings required to commence, construct, and operate the project.</t>
  </si>
  <si>
    <t>Permit inventory (all required permits by agency); current status of each permit; expected timeline to approval; longest-lead permit identification; prior approval rate for similar projects in jurisdiction</t>
  </si>
  <si>
    <t>Unpermitted projects cannot proceed; unexpected permit conditions add cost; single long-lead permit (NEPA, interconnection, zoning variance) becomes schedule critical path</t>
  </si>
  <si>
    <t>E&amp;P: state commission APD, BLM permit portal | Renewables: ISO interconnection queue, BLM NEPA | Real Estate: municipal planning, Army Corps | Technology: sector-specific licenses (FinCEN, FDA)</t>
  </si>
  <si>
    <t>Regulatory</t>
  </si>
  <si>
    <t>Identify the longest-lead permit early — it is almost always the schedule critical path. Federal lands add 12–24 months vs. state/private. Document permit status vs. project milestone timeline.</t>
  </si>
  <si>
    <t>Regulatory Jurisdiction
&amp; Complexity</t>
  </si>
  <si>
    <t>Assessment of the regulatory authority with jurisdiction, and the complexity and predictability of the regulatory environment.</t>
  </si>
  <si>
    <t>Federal vs. state vs. local jurisdiction; regulatory agency posture (active, hostile, or permissive); historical permitting decision timeline; tribal or sovereign land involvement; sector-specific regulatory body</t>
  </si>
  <si>
    <t>Federal or tribal jurisdiction adds complexity and extends timelines; hostile regulatory environment increases risk of denial; jurisdictional overlap between agencies creates approval uncertainty</t>
  </si>
  <si>
    <t>E&amp;P: BLM/BSEE vs. state commission | Renewables: FERC, ISO, state PUC | Real Estate: zoning authority, historic preservation | Technology: SEC/CFTC (fintech), FDA (healthtech), FTC (data)</t>
  </si>
  <si>
    <t>Regulatory / Legal</t>
  </si>
  <si>
    <t>Federal, tribal, and multi-agency projects carry the highest regulatory complexity scores. Document the primary regulatory authority and all agencies with concurrent jurisdiction.</t>
  </si>
  <si>
    <t>Environmental &amp; Social
Exposure</t>
  </si>
  <si>
    <t>Environmental constraints, physical hazard exposure, and social/community risk factors that could trigger regulatory action, litigation, or project delay.</t>
  </si>
  <si>
    <t>Environmental survey completion status (Phase I/II, ESA, wetlands delineation); FEMA flood classification; endangered species / critical habitat presence; community engagement history; NGO opposition signals</t>
  </si>
  <si>
    <t>Environmental findings halt or delay projects; community opposition triggers enhanced regulatory scrutiny; NGO litigation adds 12–36 months to permitting timeline</t>
  </si>
  <si>
    <t>E&amp;P: USFWS IPaC, Army Corps, Phase I ESA | Renewables: avian/bat studies, noise assessments | Real Estate: Phase I ESA, FEMA flood maps | Technology: data privacy impact assessments</t>
  </si>
  <si>
    <t>Environmental / Social</t>
  </si>
  <si>
    <t>Environmental survey completeness is a MDSC gating requirement. Early community engagement materially reduces opposition risk. Document all environmental sensitivities and mitigation commitments.</t>
  </si>
  <si>
    <t>Policy Stability &amp;
Incentive Continuity</t>
  </si>
  <si>
    <t>Predictability of the policy environment, stability of applicable incentive programs, and risk of regulatory changes that impair project economics over the investment horizon.</t>
  </si>
  <si>
    <t>Incentive program expiry dates (ITC/PTC, RPS, R&amp;D tax credits); legislative tracking for material rule changes; historical frequency of policy changes in jurisdiction; federal vs. state incentive dependency</t>
  </si>
  <si>
    <t>Incentive expiry or reduction impairs IRR; adverse regulatory rule changes add operating cost; policy reversal creates refinancing risk for long-dated infrastructure assets</t>
  </si>
  <si>
    <t>E&amp;P: state commission regulatory proceedings, EPA methane rules | Renewables: DSIRE, IRA legislative risk | Real Estate: rent control ordinances, property tax trends | Technology: FTC enforcement, state data privacy laws</t>
  </si>
  <si>
    <t>Political / Regulatory</t>
  </si>
  <si>
    <t>Policy risk is asymmetric — adverse changes happen faster than favourable ones. Identify all project-material incentives and their expiry/sunset dates. Flag projects where &gt;20% of returns depend on a single incentive program.</t>
  </si>
  <si>
    <t>Legal Exposure, IP &amp;
Contractual Integrity</t>
  </si>
  <si>
    <t>Exposure to litigation, intellectual property infringement claims, contractual liability, and the integrity of key project agreements.</t>
  </si>
  <si>
    <t>Title/IP ownership documentation; pending or threatened litigation; contract indemnification scope; liability cap adequacy; open-source license compliance (Technology); surface/easement agreement completeness</t>
  </si>
  <si>
    <t>Title defects or IP disputes result in injunctions and asset impairment; uncapped indemnification creates unquantifiable downside; open-source license violations expose proprietary code</t>
  </si>
  <si>
    <t>E&amp;P: ALTA title, lien searches | Renewables: easement records, interconnection agreement | Real Estate: title insurance, litigation search | Technology: patent FTO, FOSSA OS audit</t>
  </si>
  <si>
    <t>Legal</t>
  </si>
  <si>
    <t>Require independent legal due diligence on all key agreements before capital close. Technology: FTO opinion essential for hardware/med-tech. All verticals: distinguish executed agreements from LOIs.</t>
  </si>
  <si>
    <t xml:space="preserve">  Commercial &amp; Financial Risk (CF)
Revenue · Economics · Capital Structure · Funding Certainty</t>
  </si>
  <si>
    <t>Revenue Contract Certainty
&amp; Offtake Quality</t>
  </si>
  <si>
    <t>Degree to which future revenue is contractually secured, the credit quality of the counterparty, and the pricing structure relative to project economics.</t>
  </si>
  <si>
    <t>Contracted vs. merchant/uncontracted revenue (%); offtake/PPA/lease/SaaS contract terms; counterparty credit rating or financial strength; price escalation mechanism; contract tenor vs. debt tenor</t>
  </si>
  <si>
    <t>Merchant/uncontracted revenue creates cash flow volatility that impairs debt capacity; offtaker default eliminates revenue; contract pricing below breakeven makes project uneconomic</t>
  </si>
  <si>
    <t>E&amp;P: PPA/marketing agreements, hedge schedule | Renewables: executed PPA, LevelTen curves | Real Estate: lease abstracts, rent rolls | Technology: ARR waterfall, subscription analytics</t>
  </si>
  <si>
    <t>Commercial / Legal</t>
  </si>
  <si>
    <t>Fully contracted = lowest risk; fully merchant = highest. For all asset classes: require contracted revenue to exceed debt service coverage at P90 scenario. Distinguish executed contracts from LOIs.</t>
  </si>
  <si>
    <t>Unit Economics Integrity
&amp; Break-Even Validation</t>
  </si>
  <si>
    <t>Soundness of the project-level or company-level economics, including margin structure, break-even price, payback period, and sensitivity to key value drivers.</t>
  </si>
  <si>
    <t>Break-even price ($/BOE, $/MWh, $/sqft NOI, LTV/CAC); gross margin (%); payback period; IRR at base and downside scenarios; sensitivity to ±20% on primary value driver; unit economics benchmarking vs. sector comparables</t>
  </si>
  <si>
    <t>Over-optimistic assumptions inflate IRR; break-even price above current market strip makes project unviable; thin margins leave no buffer for cost overruns or revenue shortfalls</t>
  </si>
  <si>
    <t>E&amp;P: Enverus type curve benchmarks | Renewables: NREL LCOE data | Real Estate: CoStar cap rate data | Technology: SaaS benchmarks (Bessemer, OpenView)</t>
  </si>
  <si>
    <t>Require P90 downside scenario economics for all projects. Flag if break-even price exceeds current market price by &gt;15%. Stress-test ±20% on the single most sensitive value driver.</t>
  </si>
  <si>
    <t>Capital Structure &amp;
Leverage Appropriateness</t>
  </si>
  <si>
    <t>Appropriateness of the debt/equity mix, leverage level, and capital structure complexity relative to the project's risk profile and cash flow profile.</t>
  </si>
  <si>
    <t>Debt/equity split; leverage ratio (Debt/EBITDA or Debt/EBITDAX); DSCR (benchmark: &gt;1.25x); debt covenant headroom; capital structure complexity (senior/mezz/pref equity layers); covenant compliance risk</t>
  </si>
  <si>
    <t>Excess leverage amplifies losses in downside scenarios; covenant breach triggers technical default; capital stack complexity creates misaligned incentives; high debt service consumes cash before equity returns</t>
  </si>
  <si>
    <t>E&amp;P: RBL borrowing base documentation | Renewables: project finance DSCR model | Real Estate: loan documents, LTV analysis | Technology: venture debt terms, runway vs. burn</t>
  </si>
  <si>
    <t>Financial / Credit</t>
  </si>
  <si>
    <t>DSCR below 1.20x at P90 is a high-risk threshold across all asset classes. For early-stage tech, runway &lt;12 months = critical. Model covenant compliance under downside scenarios before finalising capital structure.</t>
  </si>
  <si>
    <t>Funding Certainty
&amp; Capital Commitment</t>
  </si>
  <si>
    <t>Degree to which the project's full capital requirement is committed versus conditional, and the risk of funding gaps before key milestones.</t>
  </si>
  <si>
    <t>Committed vs. conditional capital (signed vs. LOI); funding coverage to next major milestone; capital call schedule vs. project milestone timeline; sponsor/investor financial capacity; equity cure provisions</t>
  </si>
  <si>
    <t>Funding gap before project completion forces distressed raise or program halt; conditional commitments do not survive commodity price or market declines; co-investor non-consent triggers JOA penalties</t>
  </si>
  <si>
    <t>E&amp;P: subscription agreements, JOA non-consent | Renewables: equity commitment letters, tax equity flip | Real Estate: GP/LP capital commitments | Technology: term sheets, pro-rata rights</t>
  </si>
  <si>
    <t>Financial</t>
  </si>
  <si>
    <t>Distinguish signed subscriptions from LOIs — only signed commitments count toward MDSC. Confirm that committed capital covers full scope through COD or next financing milestone. Non-consent mechanisms in JOAs provide backstop.</t>
  </si>
  <si>
    <t>Commodity / Price
Exposure &amp; Hedging</t>
  </si>
  <si>
    <t>Sensitivity of project revenue and returns to movements in the primary pricing variable (commodity price, energy price, rent, ARR pricing), and adequacy of any hedging or contractual protection.</t>
  </si>
  <si>
    <t>Revenue sensitivity to ±20% primary price movement; hedge coverage ratio (% of revenue hedged); hedge tenor vs. debt tenor; correlation between revenue driver and cost structure; hedge instrument type (swap, put, collar)</t>
  </si>
  <si>
    <t>Unhedged merchant exposure creates cash flow volatility that impairs debt coverage; sharp price decline triggers RBL redetermination or DSCR covenant breach; unhedged energy cost (Technology) inflates opex in peak demand periods</t>
  </si>
  <si>
    <t>E&amp;P: NYMEX forward curve, hedge schedule | Renewables: ICE/CME energy forwards, PPA vs. merchant split | Real Estate: cap rate sensitivity, interest rate hedge | Technology: pricing power vs. inflation sensitivity</t>
  </si>
  <si>
    <t>Financial / Market</t>
  </si>
  <si>
    <t>Stress-test at P10 price scenario for merchant assets. For debt-funded projects, hedge coverage should match debt tenor. Document basis between hedge instrument price and realized price for the project.</t>
  </si>
  <si>
    <t xml:space="preserve">  Infrastructure, Integration &amp; Market Risk (IM)
Delivery · Connectivity · Market Access · Competitive Position</t>
  </si>
  <si>
    <t>Physical Infrastructure
Access &amp; Connectivity</t>
  </si>
  <si>
    <t>Access to the physical infrastructure required to deliver the project's output to market, including pipelines, grid connections, transport networks, and logistics.</t>
  </si>
  <si>
    <t>Distance to and capacity of nearest infrastructure (pipeline, grid, transport hub); contract status (firm vs. interruptible); infrastructure ownership and control; construction requirement and cost for last-mile connection</t>
  </si>
  <si>
    <t>Insufficient infrastructure access curtails production or increases delivery cost to uneconomic levels; interruptible contracts are shut-in first; last-mile infrastructure requirement adds cost uncertainty</t>
  </si>
  <si>
    <t>E&amp;P: pipeline capacity maps, gathering agreement | Renewables: ISO interconnection agreement, POI substation status | Real Estate: transit scores, road access | Technology: cloud provider availability, CDN coverage</t>
  </si>
  <si>
    <t>Infrastructure / Technical</t>
  </si>
  <si>
    <t>Projects without secured infrastructure access cannot be funded — a universal MDSC requirement. Interruptible vs. firm capacity distinction is critical. Document all infrastructure agreements and cost responsibilities.</t>
  </si>
  <si>
    <t>Market Access, Liquidity
&amp; Pricing Basis</t>
  </si>
  <si>
    <t>Ability to access liquid trading hubs or competitive end-markets, and the magnitude of the price differential between the project location and the benchmark pricing point.</t>
  </si>
  <si>
    <t>Distance and transport cost to nearest liquid pricing hub; historical basis differential (local vs. benchmark); basis volatility; alternative market access options; local market depth (number of buyers)</t>
  </si>
  <si>
    <t>Wide or volatile basis differential erodes realized revenue; thin local markets force distressed pricing; landlocked positions with no pipeline access face structural discounts</t>
  </si>
  <si>
    <t>E&amp;P: Platts/Argus regional pricing | Renewables: ISO LMP data, VPPA basis risk | Real Estate: CoStar transaction volume | Technology: customer concentration, channel diversification</t>
  </si>
  <si>
    <t>Basis risk can erode 5–20% of gross revenue. Model P90 basis scenario explicitly. For Technology: customer concentration &gt;20% in top account = market access concentration risk equivalent.</t>
  </si>
  <si>
    <t>Competitive Position
&amp; Moat Strength</t>
  </si>
  <si>
    <t>Assessment of the project's or company's competitive position in its market, the defensibility of that position, and the barriers protecting it from erosion.</t>
  </si>
  <si>
    <t>Market share trend; competitor funding and capability assessment; switching costs; IP/data/network effect moats; feature parity vs. leading competitors; moat durability assessment (years of advantage)</t>
  </si>
  <si>
    <t>Well-funded competitors erode market position; commoditisation compresses margins; weak moat enables fast-follower replication; platform or channel dependency creates single-point-of-failure risk</t>
  </si>
  <si>
    <t>E&amp;P: basin competitive activity (Enverus) | Renewables: ISO capacity queue congestion | Real Estate: competitive supply pipeline | Technology: Crunchbase/PitchBook competitive funding, G2 reviews</t>
  </si>
  <si>
    <t>Strategic / Market</t>
  </si>
  <si>
    <t>Physical assets (E&amp;P, Renewables, RE): location advantage and infrastructure access are the primary moats. Technology: require at least two distinct moat sources (data + network, IP + switching cost). Single moat is insufficient at scale.</t>
  </si>
  <si>
    <t>Upstream / Downstream
Concentration &amp; Integration</t>
  </si>
  <si>
    <t>Exposure to concentration risk from a small number of suppliers or buyers, and the risk arising from integration with upstream or downstream value chain participants.</t>
  </si>
  <si>
    <t>Supplier concentration (single-source vs. multi-source); buyer/offtaker concentration (% revenue from top 1/3/5 counterparties); integration dependencies; single-point-of-failure mapping; alternative sourcing/selling options</t>
  </si>
  <si>
    <t>Single-source supplier creates operational fragility; revenue concentration in one buyer creates existential commercial risk; value chain integration failure cascades across multiple project components</t>
  </si>
  <si>
    <t>E&amp;P: service company concentration, oil marketer alternatives | Renewables: OEM parts sourcing, offtaker alternatives | Real Estate: tenant concentration, property manager | Technology: cloud provider, API dependency mapping</t>
  </si>
  <si>
    <t>Commercial / Operational</t>
  </si>
  <si>
    <t>Top counterparty &gt;30% of revenue or supply is a concentration risk threshold across all asset classes. Map all single-point-of-failure dependencies and document contingency plans.</t>
  </si>
  <si>
    <t>Exit Liquidity &amp;
Capital Recovery</t>
  </si>
  <si>
    <t>Depth of the buyer market for the asset, transaction volume in comparable deals, and the investor's ability to recover capital within the target hold period.</t>
  </si>
  <si>
    <t>Transaction volume in the asset class (trailing 12 months); number of active strategic and financial buyers; typical time-on-market for comparable assets; exit valuation methodology (cap rate, EV/EBITDA, comparable transactions); secondary market depth</t>
  </si>
  <si>
    <t>Thin secondary markets require deep discounts to attract buyers; illiquid asset types trap capital beyond target hold period; adverse market conditions compress exit multiples and extend hold</t>
  </si>
  <si>
    <t>E&amp;P: upstream M&amp;A transaction data (Enverus, PLS) | Renewables: CBRE/JLL renewables M&amp;A | Real Estate: RCA transaction data | Technology: PitchBook/Crunchbase exit comps</t>
  </si>
  <si>
    <t>Capital Markets</t>
  </si>
  <si>
    <t>Exit liquidity is the final realisation of all upstream risk management. Stress-test exit cap rate or multiple expansion of +25%/+50% on valuation. Thin markets (secondary office, frontier E&amp;P) require higher return thresholds.</t>
  </si>
  <si>
    <t>TCA Universal — Cross-Industry Project Scoring Calculator</t>
  </si>
  <si>
    <t>Project / Company Name:</t>
  </si>
  <si>
    <t>Enter project metadata in yellow cells. Select Asset Class to confirm which vertical framework's stage weights apply. If no vertical framework exists, use the Generic Stage weights from the Universal Stage Weights sheet. All fields required under TCA RIA recordkeeping policy (SEC Rule 204-2).</t>
  </si>
  <si>
    <t>Assessment Date:</t>
  </si>
  <si>
    <t>Asset Class / Industry:</t>
  </si>
  <si>
    <t>Project Stage (Generic 1/2/3 or specific):</t>
  </si>
  <si>
    <t>Analyst:</t>
  </si>
  <si>
    <t>Reviewer:</t>
  </si>
  <si>
    <t>Assessment ID:</t>
  </si>
  <si>
    <t>Domain Score Input — Enter Domain Score (1.0–5.0) per Domain  |  Weights auto-applied by stage</t>
  </si>
  <si>
    <t>Domain (Universal)</t>
  </si>
  <si>
    <t>Stage 1
Weight</t>
  </si>
  <si>
    <t>Stage 2
Weight</t>
  </si>
  <si>
    <t>Stage 3
Weight</t>
  </si>
  <si>
    <t>Domain Score
(1.0–5.0)</t>
  </si>
  <si>
    <t>Wtd Score
(Stage 1)</t>
  </si>
  <si>
    <t>Wtd Score
(Stage 2)</t>
  </si>
  <si>
    <t>Wtd Score
(Stage 3)</t>
  </si>
  <si>
    <t>Foundational / Asset Risk</t>
  </si>
  <si>
    <t>Technical &amp; Execution Risk</t>
  </si>
  <si>
    <t>Regulatory &amp; External Constraint</t>
  </si>
  <si>
    <t>Composite TCA Risk Score</t>
  </si>
  <si>
    <t>Stage 1 (Concept / Early) Score</t>
  </si>
  <si>
    <t>Stage 2 (Defined / Build) Score</t>
  </si>
  <si>
    <t>Stage 3 (Operating / Scale) Score</t>
  </si>
  <si>
    <t>TCA Grade:  1.0–1.9 = TCA-A (Stable)  |  2.0–2.5 = TCA-B (Core)  |  2.6–3.2 = TCA-C (Opportunistic)  |  3.3–4.0 = TCA-D (High-Risk)  |  &gt;4.0 = TCA-S (Speculative)</t>
  </si>
  <si>
    <t>⚠  VERTICAL FRAMEWORK NOTICE:  This Universal scoring calculator applies generic stage weights. For projects with a defined asset class, the vertical framework with asset-class-specific stage weights must be used instead:
→  E&amp;P Upstream: TCA-EP-001-v1.0  (6-stage continuum: Virgin Exploration → Producing Wells)
→  Renewables: TCA-REN-001-v1.0  (3 stages: Early Development / Construction / Operating)
→  Real Estate: TCA-RE-001-v1.0  (3 stages: Acquisition / Development / Stabilized)
→  Technology: TCA-TECH-001-v1.0  (3 stages: Early Stage / Growth / Mature)</t>
  </si>
  <si>
    <t>⚠  RIA RECORDKEEPING NOTICE (SEC Rule 204-2):  This scoring record constitutes a research record of TokenCap Advisors LLC. Retain minimum 5 years in immutable format. Analyst and Reviewer must be completed. R&amp;I produces the evaluative record; Risk applies independent scoring governance — structurally separated per TCA policy.</t>
  </si>
  <si>
    <t>TCA Intelligence Framework — Complete Framework Directory &amp; Governance Reference</t>
  </si>
  <si>
    <t>This directory lists all TCA Risk Frameworks, their version identifiers, scope, stage definitions, domain counts, and relationship to this Universal Framework. All vertical frameworks must conform to the five-domain taxonomy and scoring architecture established in TCA-UNIV-001-v1.0. Changes to any vertical framework require CRO review and version-log entry in this directory.</t>
  </si>
  <si>
    <t>Framework ID</t>
  </si>
  <si>
    <t>Name</t>
  </si>
  <si>
    <t>Asset Class / Scope</t>
  </si>
  <si>
    <t>Stages Defined</t>
  </si>
  <si>
    <t>Domain Count</t>
  </si>
  <si>
    <t>Version</t>
  </si>
  <si>
    <t>Effective Date</t>
  </si>
  <si>
    <t>Status</t>
  </si>
  <si>
    <t>Supersedes / Notes</t>
  </si>
  <si>
    <t>TCA-UNIV-001</t>
  </si>
  <si>
    <t>Universal Framework</t>
  </si>
  <si>
    <t>All asset classes — master reference</t>
  </si>
  <si>
    <t>3 Generic (S1/S2/S3)</t>
  </si>
  <si>
    <t>5</t>
  </si>
  <si>
    <t>v1.0</t>
  </si>
  <si>
    <t>2026</t>
  </si>
  <si>
    <t>Active — Master</t>
  </si>
  <si>
    <t>Governs all vertical frameworks</t>
  </si>
  <si>
    <t>TCA-EP-001</t>
  </si>
  <si>
    <t>E&amp;P Upstream Framework</t>
  </si>
  <si>
    <t>U.S. Upstream Exploration &amp; Production</t>
  </si>
  <si>
    <t>6 (Virg. Explor. → PDP)</t>
  </si>
  <si>
    <t>Active</t>
  </si>
  <si>
    <t>Conforms to TCA-UNIV-001</t>
  </si>
  <si>
    <t>TCA-REN-001</t>
  </si>
  <si>
    <t>Renewables Framework</t>
  </si>
  <si>
    <t>U.S. Renewable Energy (Solar/Wind/Storage/Hybrid)</t>
  </si>
  <si>
    <t>3 (Early Dev / Const / Oper)</t>
  </si>
  <si>
    <t>TCA-RE-001</t>
  </si>
  <si>
    <t>Real Estate Framework</t>
  </si>
  <si>
    <t>U.S. Real Estate (All Subtypes)</t>
  </si>
  <si>
    <t>3 (Acq / Dev / Stabilized)</t>
  </si>
  <si>
    <t>TCA-TECH-001</t>
  </si>
  <si>
    <t>Technology Framework</t>
  </si>
  <si>
    <t>Technology (SaaS/Fintech/HealthTech/AI/Marketplace)</t>
  </si>
  <si>
    <t>3 (Early / Growth / Mature)</t>
  </si>
  <si>
    <t>TCA-[NEW]-001</t>
  </si>
  <si>
    <t>[Future Vertical]</t>
  </si>
  <si>
    <t>[New asset class as pipeline evolves]</t>
  </si>
  <si>
    <t>TBD</t>
  </si>
  <si>
    <t>Pending</t>
  </si>
  <si>
    <t>Must conform to TCA-UNIV-001</t>
  </si>
  <si>
    <t>Universal Scoring Architecture Reference</t>
  </si>
  <si>
    <t>Metric</t>
  </si>
  <si>
    <t>Scale / Range</t>
  </si>
  <si>
    <t>Formula</t>
  </si>
  <si>
    <t>Interpretation</t>
  </si>
  <si>
    <t>Likelihood</t>
  </si>
  <si>
    <t>0 = None / 1 = Low / 2 = Moderate / 3 = High</t>
  </si>
  <si>
    <t>Analyst judgment — evidence required</t>
  </si>
  <si>
    <t>Probability of the risk event occurring</t>
  </si>
  <si>
    <t>Impact</t>
  </si>
  <si>
    <t>0 = None / 1 = Minor / 2 = Significant / 3 = Severe</t>
  </si>
  <si>
    <t>Consequence severity if risk event occurs</t>
  </si>
  <si>
    <t>Inherent Risk</t>
  </si>
  <si>
    <t>0–9</t>
  </si>
  <si>
    <t>Likelihood × Impact</t>
  </si>
  <si>
    <t>Gross risk before controls</t>
  </si>
  <si>
    <t>Control Effectiveness</t>
  </si>
  <si>
    <t>1 = Weak / 2 = Adequate / 3 = Strong</t>
  </si>
  <si>
    <t>Quality of mitigants in place</t>
  </si>
  <si>
    <t>Residual Risk</t>
  </si>
  <si>
    <t>0–9 (normalised)</t>
  </si>
  <si>
    <t>Inherent Risk ÷ Control Effectiveness</t>
  </si>
  <si>
    <t>Net risk after controls</t>
  </si>
  <si>
    <t>Domain Score</t>
  </si>
  <si>
    <t>1.0–5.0</t>
  </si>
  <si>
    <t>Analyst composite across domain elements</t>
  </si>
  <si>
    <t>Normalised domain-level risk rating</t>
  </si>
  <si>
    <t>Composite Score</t>
  </si>
  <si>
    <t>SUM (Domain Score × Stage Weight)</t>
  </si>
  <si>
    <t>Weighted project-level risk score</t>
  </si>
  <si>
    <t>TCA Composite Score Grading Scale — Universal</t>
  </si>
  <si>
    <t>Score Range</t>
  </si>
  <si>
    <t>TCA Grade</t>
  </si>
  <si>
    <t>Typical Asset Stage / Capital Type</t>
  </si>
  <si>
    <t>Required IRR Band (Indicative)</t>
  </si>
  <si>
    <t>1.0 – 1.9</t>
  </si>
  <si>
    <t>TCA-A</t>
  </si>
  <si>
    <t>Stable</t>
  </si>
  <si>
    <t>Producing / Operating / Mature assets — yield-oriented capital</t>
  </si>
  <si>
    <t>8–14%</t>
  </si>
  <si>
    <t>2.0 – 2.5</t>
  </si>
  <si>
    <t>TCA-B</t>
  </si>
  <si>
    <t>Core</t>
  </si>
  <si>
    <t>Development / Growth stage — institutional PE/infra capital</t>
  </si>
  <si>
    <t>14–20%</t>
  </si>
  <si>
    <t>2.6 – 3.2</t>
  </si>
  <si>
    <t>TCA-C</t>
  </si>
  <si>
    <t>Opportunistic</t>
  </si>
  <si>
    <t>Late exploration / Early growth — opportunistic capital</t>
  </si>
  <si>
    <t>20–30%</t>
  </si>
  <si>
    <t>3.3 – 4.0</t>
  </si>
  <si>
    <t>TCA-D</t>
  </si>
  <si>
    <t>High-Risk</t>
  </si>
  <si>
    <t>Early development / Pre-revenue — venture/risk capital</t>
  </si>
  <si>
    <t>30–45%</t>
  </si>
  <si>
    <t>&gt;4.0</t>
  </si>
  <si>
    <t>TCA-S</t>
  </si>
  <si>
    <t>Speculative</t>
  </si>
  <si>
    <t>Virgin exploration / Pre-PMF / concept-only — wildcat capital</t>
  </si>
  <si>
    <t>45%+</t>
  </si>
  <si>
    <t>TCA Universal Risk Framework  |  Audit &amp; RIA Compliance Log</t>
  </si>
  <si>
    <t>This log records all assessment activities performed using any TCA framework. It constitutes a Books &amp; Records artifact under SEC Rule 204-2 (17 CFR § 275.204-2). Entries must be made contemporaneously. Records must be retained for a minimum of five (5) years in an immutable, reproducible format accessible to regulators upon request. Alteration of completed entries is prohibited. R&amp;I/Risk structural separation must be documented — the Analyst and Reviewer fields must reflect different individuals.</t>
  </si>
  <si>
    <t>Log
#</t>
  </si>
  <si>
    <t>Assessment ID</t>
  </si>
  <si>
    <t>Project / Company
Name</t>
  </si>
  <si>
    <t>Assessment
Date</t>
  </si>
  <si>
    <t>R&amp;I Analyst
(Name/ID)</t>
  </si>
  <si>
    <t>Risk Reviewer
(Name/ID)</t>
  </si>
  <si>
    <t>Approval
Date</t>
  </si>
  <si>
    <t>Asset Class /
Vertical</t>
  </si>
  <si>
    <t>Framework
Version Used</t>
  </si>
  <si>
    <t>Stage
Applied</t>
  </si>
  <si>
    <t>Composite
Score</t>
  </si>
  <si>
    <t>TCA
Grade</t>
  </si>
  <si>
    <t>Evidence Ref &amp;
Record Location</t>
  </si>
  <si>
    <t>Methodology Version Control Log — All Frameworks</t>
  </si>
  <si>
    <t>Change Description</t>
  </si>
  <si>
    <t>Approved By</t>
  </si>
  <si>
    <t>CRO Sign Date</t>
  </si>
  <si>
    <t>Initial release — Universal master framework</t>
  </si>
  <si>
    <t>CRO</t>
  </si>
  <si>
    <t>[Date]</t>
  </si>
  <si>
    <t>Initial release — E&amp;P Upstream</t>
  </si>
  <si>
    <t>Initial release — Renewables</t>
  </si>
  <si>
    <t>Initial release — Real Estate</t>
  </si>
  <si>
    <t>Initial release —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</si>
</sst>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scheme val="minor"/>
    </font>
    <font>
      <sz val="11"/>
      <color theme="1"/>
      <name val="Calibri"/>
      <family val="2"/>
    </font>
    <font>
      <b/>
      <sz val="18"/>
      <color rgb="FFC9A84C"/>
      <name val="Arial"/>
      <family val="2"/>
    </font>
    <font>
      <sz val="11"/>
      <name val="Calibri"/>
      <family val="2"/>
    </font>
    <font>
      <b/>
      <sz val="14"/>
      <color rgb="FFFFFFFF"/>
      <name val="Arial"/>
      <family val="2"/>
    </font>
    <font>
      <sz val="9"/>
      <color rgb="FFC9A84C"/>
      <name val="Arial"/>
      <family val="2"/>
    </font>
    <font>
      <b/>
      <sz val="11"/>
      <color rgb="FF1F2D54"/>
      <name val="Arial"/>
      <family val="2"/>
    </font>
    <font>
      <sz val="9"/>
      <color rgb="FF404040"/>
      <name val="Arial"/>
      <family val="2"/>
    </font>
    <font>
      <b/>
      <sz val="9"/>
      <color rgb="FF1F2D54"/>
      <name val="Arial"/>
      <family val="2"/>
    </font>
    <font>
      <b/>
      <sz val="9"/>
      <color rgb="FFFFFFFF"/>
      <name val="Arial"/>
      <family val="2"/>
    </font>
    <font>
      <sz val="9"/>
      <color rgb="FF000000"/>
      <name val="Arial"/>
      <family val="2"/>
    </font>
    <font>
      <b/>
      <sz val="8"/>
      <color rgb="FFFFFFFF"/>
      <name val="Arial"/>
      <family val="2"/>
    </font>
    <font>
      <sz val="8"/>
      <color rgb="FF404040"/>
      <name val="Arial"/>
      <family val="2"/>
    </font>
    <font>
      <i/>
      <sz val="8"/>
      <color rgb="FFC00000"/>
      <name val="Arial"/>
      <family val="2"/>
    </font>
    <font>
      <b/>
      <sz val="12"/>
      <color rgb="FFFFFFFF"/>
      <name val="Arial"/>
      <family val="2"/>
    </font>
    <font>
      <i/>
      <sz val="8"/>
      <color rgb="FF7F7F7F"/>
      <name val="Arial"/>
      <family val="2"/>
    </font>
    <font>
      <b/>
      <sz val="9"/>
      <color rgb="FF404040"/>
      <name val="Arial"/>
      <family val="2"/>
    </font>
    <font>
      <sz val="9"/>
      <color rgb="FF0000FF"/>
      <name val="Arial"/>
      <family val="2"/>
    </font>
    <font>
      <b/>
      <sz val="10"/>
      <color rgb="FFFFFFFF"/>
      <name val="Arial"/>
      <family val="2"/>
    </font>
    <font>
      <b/>
      <sz val="8"/>
      <color rgb="FF1F2D54"/>
      <name val="Arial"/>
      <family val="2"/>
    </font>
    <font>
      <i/>
      <sz val="8"/>
      <color rgb="FFC9A84C"/>
      <name val="Arial"/>
      <family val="2"/>
    </font>
    <font>
      <sz val="7"/>
      <color rgb="FFFFFFFF"/>
      <name val="Arial"/>
      <family val="2"/>
    </font>
    <font>
      <i/>
      <sz val="7"/>
      <color rgb="FF7F7F7F"/>
      <name val="Arial"/>
      <family val="2"/>
    </font>
    <font>
      <b/>
      <sz val="10"/>
      <color rgb="FF0000FF"/>
      <name val="Arial"/>
      <family val="2"/>
    </font>
    <font>
      <i/>
      <sz val="8"/>
      <color rgb="FF404040"/>
      <name val="Arial"/>
      <family val="2"/>
    </font>
    <font>
      <sz val="8"/>
      <color rgb="FF1F2D54"/>
      <name val="Arial"/>
      <family val="2"/>
    </font>
    <font>
      <sz val="8"/>
      <color rgb="FF0000FF"/>
      <name val="Arial"/>
      <family val="2"/>
    </font>
  </fonts>
  <fills count="14">
    <fill>
      <patternFill patternType="none"/>
    </fill>
    <fill>
      <patternFill patternType="gray125"/>
    </fill>
    <fill>
      <patternFill patternType="solid">
        <fgColor rgb="FF1F2D54"/>
        <bgColor rgb="FF1F2D54"/>
      </patternFill>
    </fill>
    <fill>
      <patternFill patternType="solid">
        <fgColor rgb="FF1F4E79"/>
        <bgColor rgb="FF1F4E79"/>
      </patternFill>
    </fill>
    <fill>
      <patternFill patternType="solid">
        <fgColor rgb="FFDEEAF1"/>
        <bgColor rgb="FFDEEAF1"/>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EDE7F6"/>
        <bgColor rgb="FFEDE7F6"/>
      </patternFill>
    </fill>
    <fill>
      <patternFill patternType="solid">
        <fgColor rgb="FFF2F2F2"/>
        <bgColor rgb="FFF2F2F2"/>
      </patternFill>
    </fill>
    <fill>
      <patternFill patternType="solid">
        <fgColor rgb="FF404040"/>
        <bgColor rgb="FF404040"/>
      </patternFill>
    </fill>
    <fill>
      <patternFill patternType="solid">
        <fgColor rgb="FFFFFACD"/>
        <bgColor rgb="FFFFFACD"/>
      </patternFill>
    </fill>
    <fill>
      <patternFill patternType="solid">
        <fgColor rgb="FFFFFF00"/>
        <bgColor rgb="FFFFFF00"/>
      </patternFill>
    </fill>
    <fill>
      <patternFill patternType="solid">
        <fgColor rgb="FFFFFFFF"/>
        <bgColor rgb="FFFFFFFF"/>
      </patternFill>
    </fill>
  </fills>
  <borders count="9">
    <border>
      <left/>
      <right/>
      <top/>
      <bottom/>
      <diagonal/>
    </border>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133">
    <xf numFmtId="0" fontId="0" fillId="0" borderId="0" xfId="0"/>
    <xf numFmtId="0" fontId="1" fillId="2" borderId="1" xfId="0" applyFont="1" applyFill="1" applyBorder="1"/>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3" borderId="5" xfId="0" applyFont="1" applyFill="1" applyBorder="1" applyAlignment="1">
      <alignment horizontal="left" vertical="center" wrapText="1"/>
    </xf>
    <xf numFmtId="0" fontId="9" fillId="3" borderId="5" xfId="0" applyFont="1" applyFill="1" applyBorder="1" applyAlignment="1">
      <alignment horizontal="center" vertical="center" wrapText="1"/>
    </xf>
    <xf numFmtId="0" fontId="10" fillId="4" borderId="5" xfId="0" applyFont="1" applyFill="1" applyBorder="1" applyAlignment="1">
      <alignment horizontal="left" vertical="center" wrapText="1"/>
    </xf>
    <xf numFmtId="0" fontId="7" fillId="4" borderId="5" xfId="0" applyFont="1" applyFill="1" applyBorder="1" applyAlignment="1">
      <alignment horizontal="left" vertical="center" wrapText="1"/>
    </xf>
    <xf numFmtId="0" fontId="7" fillId="4" borderId="5" xfId="0" applyFont="1" applyFill="1" applyBorder="1" applyAlignment="1">
      <alignment horizontal="center" vertical="center" wrapText="1"/>
    </xf>
    <xf numFmtId="0" fontId="10" fillId="5" borderId="5" xfId="0" applyFont="1" applyFill="1" applyBorder="1" applyAlignment="1">
      <alignment horizontal="left" vertical="center" wrapText="1"/>
    </xf>
    <xf numFmtId="0" fontId="7" fillId="5" borderId="5" xfId="0" applyFont="1" applyFill="1" applyBorder="1" applyAlignment="1">
      <alignment horizontal="left" vertical="center" wrapText="1"/>
    </xf>
    <xf numFmtId="0" fontId="7" fillId="5" borderId="5" xfId="0" applyFont="1" applyFill="1" applyBorder="1" applyAlignment="1">
      <alignment horizontal="center" vertical="center" wrapText="1"/>
    </xf>
    <xf numFmtId="0" fontId="10" fillId="6" borderId="5" xfId="0" applyFont="1" applyFill="1" applyBorder="1" applyAlignment="1">
      <alignment horizontal="left" vertical="center" wrapText="1"/>
    </xf>
    <xf numFmtId="0" fontId="7" fillId="6" borderId="5" xfId="0" applyFont="1" applyFill="1" applyBorder="1" applyAlignment="1">
      <alignment horizontal="left" vertical="center" wrapText="1"/>
    </xf>
    <xf numFmtId="0" fontId="7" fillId="6" borderId="5" xfId="0" applyFont="1" applyFill="1" applyBorder="1" applyAlignment="1">
      <alignment horizontal="center" vertical="center" wrapText="1"/>
    </xf>
    <xf numFmtId="0" fontId="10" fillId="7" borderId="5" xfId="0" applyFont="1" applyFill="1" applyBorder="1" applyAlignment="1">
      <alignment horizontal="left" vertical="center" wrapText="1"/>
    </xf>
    <xf numFmtId="0" fontId="7" fillId="7" borderId="5" xfId="0" applyFont="1" applyFill="1" applyBorder="1" applyAlignment="1">
      <alignment horizontal="left" vertical="center" wrapText="1"/>
    </xf>
    <xf numFmtId="0" fontId="7" fillId="7" borderId="5" xfId="0" applyFont="1" applyFill="1" applyBorder="1" applyAlignment="1">
      <alignment horizontal="center" vertical="center" wrapText="1"/>
    </xf>
    <xf numFmtId="0" fontId="10" fillId="8" borderId="5" xfId="0" applyFont="1" applyFill="1" applyBorder="1" applyAlignment="1">
      <alignment horizontal="left" vertical="center" wrapText="1"/>
    </xf>
    <xf numFmtId="0" fontId="7" fillId="8" borderId="5" xfId="0" applyFont="1" applyFill="1" applyBorder="1" applyAlignment="1">
      <alignment horizontal="left" vertical="center" wrapText="1"/>
    </xf>
    <xf numFmtId="0" fontId="7" fillId="8" borderId="5" xfId="0" applyFont="1" applyFill="1" applyBorder="1" applyAlignment="1">
      <alignment horizontal="center" vertical="center" wrapText="1"/>
    </xf>
    <xf numFmtId="0" fontId="11" fillId="3" borderId="5"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12" fillId="5" borderId="5" xfId="0" applyFont="1" applyFill="1" applyBorder="1" applyAlignment="1">
      <alignment horizontal="left" vertical="center" wrapText="1"/>
    </xf>
    <xf numFmtId="0" fontId="12" fillId="7" borderId="5" xfId="0" applyFont="1" applyFill="1" applyBorder="1" applyAlignment="1">
      <alignment horizontal="left" vertical="center" wrapText="1"/>
    </xf>
    <xf numFmtId="0" fontId="12" fillId="8" borderId="5"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16" fillId="4" borderId="5" xfId="0" applyFont="1" applyFill="1" applyBorder="1" applyAlignment="1">
      <alignment horizontal="left" vertical="center" wrapText="1"/>
    </xf>
    <xf numFmtId="9" fontId="17" fillId="4" borderId="5" xfId="0" applyNumberFormat="1" applyFont="1" applyFill="1" applyBorder="1" applyAlignment="1">
      <alignment horizontal="center"/>
    </xf>
    <xf numFmtId="0" fontId="15" fillId="9" borderId="5" xfId="0" applyFont="1" applyFill="1" applyBorder="1" applyAlignment="1">
      <alignment horizontal="left" vertical="center" wrapText="1"/>
    </xf>
    <xf numFmtId="0" fontId="16" fillId="5" borderId="5" xfId="0" applyFont="1" applyFill="1" applyBorder="1" applyAlignment="1">
      <alignment horizontal="left" vertical="center" wrapText="1"/>
    </xf>
    <xf numFmtId="9" fontId="17" fillId="5" borderId="5" xfId="0" applyNumberFormat="1" applyFont="1" applyFill="1" applyBorder="1" applyAlignment="1">
      <alignment horizontal="center"/>
    </xf>
    <xf numFmtId="0" fontId="16" fillId="6" borderId="5" xfId="0" applyFont="1" applyFill="1" applyBorder="1" applyAlignment="1">
      <alignment horizontal="left" vertical="center" wrapText="1"/>
    </xf>
    <xf numFmtId="9" fontId="17" fillId="6" borderId="5" xfId="0" applyNumberFormat="1" applyFont="1" applyFill="1" applyBorder="1" applyAlignment="1">
      <alignment horizontal="center"/>
    </xf>
    <xf numFmtId="0" fontId="16" fillId="7" borderId="5" xfId="0" applyFont="1" applyFill="1" applyBorder="1" applyAlignment="1">
      <alignment horizontal="left" vertical="center" wrapText="1"/>
    </xf>
    <xf numFmtId="9" fontId="17" fillId="7" borderId="5" xfId="0" applyNumberFormat="1" applyFont="1" applyFill="1" applyBorder="1" applyAlignment="1">
      <alignment horizontal="center"/>
    </xf>
    <xf numFmtId="0" fontId="16" fillId="8" borderId="5" xfId="0" applyFont="1" applyFill="1" applyBorder="1" applyAlignment="1">
      <alignment horizontal="left" vertical="center" wrapText="1"/>
    </xf>
    <xf numFmtId="9" fontId="17" fillId="8" borderId="5" xfId="0" applyNumberFormat="1" applyFont="1" applyFill="1" applyBorder="1" applyAlignment="1">
      <alignment horizontal="center"/>
    </xf>
    <xf numFmtId="0" fontId="8" fillId="9" borderId="5" xfId="0" applyFont="1" applyFill="1" applyBorder="1" applyAlignment="1">
      <alignment horizontal="left" vertical="center" wrapText="1"/>
    </xf>
    <xf numFmtId="0" fontId="10" fillId="9" borderId="5" xfId="0" applyFont="1" applyFill="1" applyBorder="1" applyAlignment="1">
      <alignment horizontal="left" vertical="center" wrapText="1"/>
    </xf>
    <xf numFmtId="9" fontId="16" fillId="9" borderId="5" xfId="0" applyNumberFormat="1" applyFont="1" applyFill="1" applyBorder="1" applyAlignment="1">
      <alignment horizontal="center"/>
    </xf>
    <xf numFmtId="0" fontId="11" fillId="10" borderId="5" xfId="0" applyFont="1" applyFill="1" applyBorder="1" applyAlignment="1">
      <alignment horizontal="center" wrapText="1"/>
    </xf>
    <xf numFmtId="0" fontId="19" fillId="9" borderId="5" xfId="0" applyFont="1" applyFill="1" applyBorder="1" applyAlignment="1">
      <alignment horizontal="left" vertical="center" wrapText="1"/>
    </xf>
    <xf numFmtId="0" fontId="11" fillId="3" borderId="5" xfId="0" applyFont="1" applyFill="1" applyBorder="1" applyAlignment="1">
      <alignment horizontal="center" vertical="center" wrapText="1"/>
    </xf>
    <xf numFmtId="0" fontId="11" fillId="2" borderId="5" xfId="0" applyFont="1" applyFill="1" applyBorder="1" applyAlignment="1">
      <alignment horizontal="center" vertical="center"/>
    </xf>
    <xf numFmtId="0" fontId="12" fillId="4" borderId="5" xfId="0" applyFont="1" applyFill="1" applyBorder="1" applyAlignment="1">
      <alignment horizontal="left" vertical="top" wrapText="1"/>
    </xf>
    <xf numFmtId="0" fontId="17" fillId="11" borderId="5" xfId="0" applyFont="1" applyFill="1" applyBorder="1" applyAlignment="1">
      <alignment horizontal="center" vertical="center"/>
    </xf>
    <xf numFmtId="0" fontId="10" fillId="4" borderId="5" xfId="0" applyFont="1" applyFill="1" applyBorder="1" applyAlignment="1">
      <alignment horizontal="center" vertical="center"/>
    </xf>
    <xf numFmtId="0" fontId="22" fillId="9" borderId="5" xfId="0" applyFont="1" applyFill="1" applyBorder="1" applyAlignment="1">
      <alignment horizontal="left" vertical="top" wrapText="1"/>
    </xf>
    <xf numFmtId="0" fontId="12" fillId="5" borderId="5" xfId="0" applyFont="1" applyFill="1" applyBorder="1" applyAlignment="1">
      <alignment horizontal="left" vertical="top" wrapText="1"/>
    </xf>
    <xf numFmtId="0" fontId="10" fillId="5" borderId="5" xfId="0" applyFont="1" applyFill="1" applyBorder="1" applyAlignment="1">
      <alignment horizontal="center" vertical="center"/>
    </xf>
    <xf numFmtId="0" fontId="12" fillId="6" borderId="5" xfId="0" applyFont="1" applyFill="1" applyBorder="1" applyAlignment="1">
      <alignment horizontal="left" vertical="top" wrapText="1"/>
    </xf>
    <xf numFmtId="0" fontId="10" fillId="6" borderId="5" xfId="0" applyFont="1" applyFill="1" applyBorder="1" applyAlignment="1">
      <alignment horizontal="center" vertical="center"/>
    </xf>
    <xf numFmtId="0" fontId="12" fillId="7" borderId="5" xfId="0" applyFont="1" applyFill="1" applyBorder="1" applyAlignment="1">
      <alignment horizontal="left" vertical="top" wrapText="1"/>
    </xf>
    <xf numFmtId="0" fontId="10" fillId="7" borderId="5" xfId="0" applyFont="1" applyFill="1" applyBorder="1" applyAlignment="1">
      <alignment horizontal="center" vertical="center"/>
    </xf>
    <xf numFmtId="0" fontId="12" fillId="8" borderId="5" xfId="0" applyFont="1" applyFill="1" applyBorder="1" applyAlignment="1">
      <alignment horizontal="left" vertical="top" wrapText="1"/>
    </xf>
    <xf numFmtId="0" fontId="10" fillId="8" borderId="5" xfId="0" applyFont="1" applyFill="1" applyBorder="1" applyAlignment="1">
      <alignment horizontal="center" vertical="center"/>
    </xf>
    <xf numFmtId="0" fontId="8" fillId="0" borderId="0" xfId="0" applyFont="1"/>
    <xf numFmtId="0" fontId="1" fillId="12" borderId="5" xfId="0" applyFont="1" applyFill="1" applyBorder="1"/>
    <xf numFmtId="0" fontId="11" fillId="10" borderId="5" xfId="0" applyFont="1" applyFill="1" applyBorder="1" applyAlignment="1">
      <alignment horizontal="center" vertical="center" wrapText="1"/>
    </xf>
    <xf numFmtId="0" fontId="8" fillId="4" borderId="5" xfId="0" applyFont="1" applyFill="1" applyBorder="1" applyAlignment="1">
      <alignment horizontal="left" vertical="center"/>
    </xf>
    <xf numFmtId="0" fontId="7" fillId="4" borderId="5" xfId="0" applyFont="1" applyFill="1" applyBorder="1" applyAlignment="1">
      <alignment horizontal="center" vertical="center"/>
    </xf>
    <xf numFmtId="9" fontId="7" fillId="4" borderId="5" xfId="0" applyNumberFormat="1" applyFont="1" applyFill="1" applyBorder="1" applyAlignment="1">
      <alignment horizontal="center" vertical="center"/>
    </xf>
    <xf numFmtId="0" fontId="23" fillId="12" borderId="5" xfId="0" applyFont="1" applyFill="1" applyBorder="1" applyAlignment="1">
      <alignment horizontal="center" vertical="center"/>
    </xf>
    <xf numFmtId="2" fontId="10" fillId="4" borderId="5" xfId="0" applyNumberFormat="1" applyFont="1" applyFill="1" applyBorder="1" applyAlignment="1">
      <alignment horizontal="center"/>
    </xf>
    <xf numFmtId="0" fontId="8" fillId="5" borderId="5" xfId="0" applyFont="1" applyFill="1" applyBorder="1" applyAlignment="1">
      <alignment horizontal="left" vertical="center"/>
    </xf>
    <xf numFmtId="0" fontId="7" fillId="5" borderId="5" xfId="0" applyFont="1" applyFill="1" applyBorder="1" applyAlignment="1">
      <alignment horizontal="center" vertical="center"/>
    </xf>
    <xf numFmtId="9" fontId="7" fillId="5" borderId="5" xfId="0" applyNumberFormat="1" applyFont="1" applyFill="1" applyBorder="1" applyAlignment="1">
      <alignment horizontal="center" vertical="center"/>
    </xf>
    <xf numFmtId="2" fontId="10" fillId="5" borderId="5" xfId="0" applyNumberFormat="1" applyFont="1" applyFill="1" applyBorder="1" applyAlignment="1">
      <alignment horizontal="center"/>
    </xf>
    <xf numFmtId="0" fontId="8" fillId="6" borderId="5" xfId="0" applyFont="1" applyFill="1" applyBorder="1" applyAlignment="1">
      <alignment horizontal="left" vertical="center"/>
    </xf>
    <xf numFmtId="0" fontId="7" fillId="6" borderId="5" xfId="0" applyFont="1" applyFill="1" applyBorder="1" applyAlignment="1">
      <alignment horizontal="center" vertical="center"/>
    </xf>
    <xf numFmtId="9" fontId="7" fillId="6" borderId="5" xfId="0" applyNumberFormat="1" applyFont="1" applyFill="1" applyBorder="1" applyAlignment="1">
      <alignment horizontal="center" vertical="center"/>
    </xf>
    <xf numFmtId="2" fontId="10" fillId="6" borderId="5" xfId="0" applyNumberFormat="1" applyFont="1" applyFill="1" applyBorder="1" applyAlignment="1">
      <alignment horizontal="center"/>
    </xf>
    <xf numFmtId="0" fontId="8" fillId="7" borderId="5" xfId="0" applyFont="1" applyFill="1" applyBorder="1" applyAlignment="1">
      <alignment horizontal="left" vertical="center"/>
    </xf>
    <xf numFmtId="0" fontId="7" fillId="7" borderId="5" xfId="0" applyFont="1" applyFill="1" applyBorder="1" applyAlignment="1">
      <alignment horizontal="center" vertical="center"/>
    </xf>
    <xf numFmtId="9" fontId="7" fillId="7" borderId="5" xfId="0" applyNumberFormat="1" applyFont="1" applyFill="1" applyBorder="1" applyAlignment="1">
      <alignment horizontal="center" vertical="center"/>
    </xf>
    <xf numFmtId="2" fontId="10" fillId="7" borderId="5" xfId="0" applyNumberFormat="1" applyFont="1" applyFill="1" applyBorder="1" applyAlignment="1">
      <alignment horizontal="center"/>
    </xf>
    <xf numFmtId="0" fontId="8" fillId="8" borderId="5" xfId="0" applyFont="1" applyFill="1" applyBorder="1" applyAlignment="1">
      <alignment horizontal="left" vertical="center"/>
    </xf>
    <xf numFmtId="0" fontId="7" fillId="8" borderId="5" xfId="0" applyFont="1" applyFill="1" applyBorder="1" applyAlignment="1">
      <alignment horizontal="center" vertical="center"/>
    </xf>
    <xf numFmtId="9" fontId="7" fillId="8" borderId="5" xfId="0" applyNumberFormat="1" applyFont="1" applyFill="1" applyBorder="1" applyAlignment="1">
      <alignment horizontal="center" vertical="center"/>
    </xf>
    <xf numFmtId="2" fontId="10" fillId="8" borderId="5" xfId="0" applyNumberFormat="1" applyFont="1" applyFill="1" applyBorder="1" applyAlignment="1">
      <alignment horizontal="center"/>
    </xf>
    <xf numFmtId="2" fontId="6" fillId="9" borderId="5" xfId="0" applyNumberFormat="1" applyFont="1" applyFill="1" applyBorder="1" applyAlignment="1">
      <alignment horizontal="center"/>
    </xf>
    <xf numFmtId="0" fontId="11" fillId="2" borderId="5" xfId="0" applyFont="1" applyFill="1" applyBorder="1" applyAlignment="1">
      <alignment horizontal="left" vertical="center" wrapText="1"/>
    </xf>
    <xf numFmtId="0" fontId="11" fillId="2" borderId="5" xfId="0" applyFont="1" applyFill="1" applyBorder="1" applyAlignment="1">
      <alignment horizontal="center" vertical="center" wrapText="1"/>
    </xf>
    <xf numFmtId="0" fontId="25" fillId="4" borderId="5" xfId="0" applyFont="1" applyFill="1" applyBorder="1" applyAlignment="1">
      <alignment horizontal="left" vertical="center" wrapText="1"/>
    </xf>
    <xf numFmtId="0" fontId="12" fillId="4" borderId="5" xfId="0" applyFont="1" applyFill="1" applyBorder="1" applyAlignment="1">
      <alignment horizontal="center" vertical="center" wrapText="1"/>
    </xf>
    <xf numFmtId="0" fontId="25" fillId="5" borderId="5" xfId="0" applyFont="1" applyFill="1" applyBorder="1" applyAlignment="1">
      <alignment horizontal="left" vertical="center" wrapText="1"/>
    </xf>
    <xf numFmtId="0" fontId="12" fillId="5" borderId="5" xfId="0" applyFont="1" applyFill="1" applyBorder="1" applyAlignment="1">
      <alignment horizontal="center" vertical="center" wrapText="1"/>
    </xf>
    <xf numFmtId="0" fontId="25" fillId="7" borderId="5" xfId="0" applyFont="1" applyFill="1" applyBorder="1" applyAlignment="1">
      <alignment horizontal="left" vertical="center" wrapText="1"/>
    </xf>
    <xf numFmtId="0" fontId="12" fillId="7" borderId="5" xfId="0" applyFont="1" applyFill="1" applyBorder="1" applyAlignment="1">
      <alignment horizontal="center" vertical="center" wrapText="1"/>
    </xf>
    <xf numFmtId="0" fontId="25" fillId="8" borderId="5" xfId="0" applyFont="1" applyFill="1" applyBorder="1" applyAlignment="1">
      <alignment horizontal="left" vertical="center" wrapText="1"/>
    </xf>
    <xf numFmtId="0" fontId="12" fillId="8" borderId="5" xfId="0" applyFont="1" applyFill="1" applyBorder="1" applyAlignment="1">
      <alignment horizontal="center" vertical="center" wrapText="1"/>
    </xf>
    <xf numFmtId="0" fontId="25" fillId="9" borderId="5" xfId="0" applyFont="1" applyFill="1" applyBorder="1" applyAlignment="1">
      <alignment horizontal="left" vertical="center" wrapText="1"/>
    </xf>
    <xf numFmtId="0" fontId="12" fillId="9" borderId="5" xfId="0" applyFont="1" applyFill="1" applyBorder="1" applyAlignment="1">
      <alignment horizontal="left" vertical="center" wrapText="1"/>
    </xf>
    <xf numFmtId="0" fontId="12" fillId="9" borderId="5" xfId="0" applyFont="1" applyFill="1" applyBorder="1" applyAlignment="1">
      <alignment horizontal="center" vertical="center" wrapText="1"/>
    </xf>
    <xf numFmtId="0" fontId="11" fillId="10" borderId="5" xfId="0" applyFont="1" applyFill="1" applyBorder="1" applyAlignment="1">
      <alignment horizontal="center"/>
    </xf>
    <xf numFmtId="0" fontId="19"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0" fontId="25" fillId="4" borderId="5" xfId="0" applyFont="1" applyFill="1" applyBorder="1" applyAlignment="1">
      <alignment horizontal="center" vertical="center" wrapText="1"/>
    </xf>
    <xf numFmtId="0" fontId="25" fillId="5" borderId="5" xfId="0" applyFont="1" applyFill="1" applyBorder="1" applyAlignment="1">
      <alignment horizontal="center" vertical="center" wrapText="1"/>
    </xf>
    <xf numFmtId="0" fontId="25" fillId="6" borderId="5"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25" fillId="7" borderId="5" xfId="0" applyFont="1" applyFill="1" applyBorder="1" applyAlignment="1">
      <alignment horizontal="center" vertical="center" wrapText="1"/>
    </xf>
    <xf numFmtId="0" fontId="25" fillId="8" borderId="5" xfId="0" applyFont="1" applyFill="1" applyBorder="1" applyAlignment="1">
      <alignment horizontal="center" vertical="center" wrapText="1"/>
    </xf>
    <xf numFmtId="0" fontId="26" fillId="9" borderId="5" xfId="0" applyFont="1" applyFill="1" applyBorder="1"/>
    <xf numFmtId="0" fontId="26" fillId="13" borderId="5" xfId="0" applyFont="1" applyFill="1" applyBorder="1"/>
    <xf numFmtId="0" fontId="12" fillId="9" borderId="5" xfId="0" applyFont="1" applyFill="1" applyBorder="1" applyAlignment="1">
      <alignment horizontal="center"/>
    </xf>
    <xf numFmtId="0" fontId="12" fillId="13" borderId="5" xfId="0" applyFont="1" applyFill="1" applyBorder="1" applyAlignment="1">
      <alignment horizontal="center"/>
    </xf>
    <xf numFmtId="0" fontId="2" fillId="2" borderId="2" xfId="0" applyFont="1" applyFill="1" applyBorder="1" applyAlignment="1">
      <alignment horizontal="center" vertical="center"/>
    </xf>
    <xf numFmtId="0" fontId="3" fillId="0" borderId="3" xfId="0" applyFont="1" applyBorder="1"/>
    <xf numFmtId="0" fontId="3" fillId="0" borderId="4" xfId="0" applyFont="1" applyBorder="1"/>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7" fillId="0" borderId="0" xfId="0" applyFont="1" applyAlignment="1">
      <alignment horizontal="left" vertical="center" wrapText="1"/>
    </xf>
    <xf numFmtId="0" fontId="0" fillId="0" borderId="0" xfId="0"/>
    <xf numFmtId="0" fontId="13" fillId="0" borderId="0" xfId="0" applyFont="1" applyAlignment="1">
      <alignment vertical="center" wrapText="1"/>
    </xf>
    <xf numFmtId="0" fontId="14" fillId="2" borderId="2" xfId="0" applyFont="1" applyFill="1" applyBorder="1" applyAlignment="1">
      <alignment horizontal="center" vertical="center" wrapText="1"/>
    </xf>
    <xf numFmtId="0" fontId="15" fillId="0" borderId="0" xfId="0" applyFont="1" applyAlignment="1">
      <alignment vertical="top" wrapText="1"/>
    </xf>
    <xf numFmtId="0" fontId="18" fillId="10" borderId="2" xfId="0" applyFont="1" applyFill="1" applyBorder="1" applyAlignment="1">
      <alignment horizontal="center" vertical="center" wrapText="1"/>
    </xf>
    <xf numFmtId="0" fontId="20" fillId="2" borderId="2" xfId="0" applyFont="1" applyFill="1" applyBorder="1" applyAlignment="1">
      <alignment horizontal="center" vertical="center"/>
    </xf>
    <xf numFmtId="0" fontId="21" fillId="10" borderId="2" xfId="0" applyFont="1" applyFill="1" applyBorder="1" applyAlignment="1">
      <alignment horizontal="left" vertical="center" wrapText="1"/>
    </xf>
    <xf numFmtId="0" fontId="18" fillId="2" borderId="6" xfId="0" applyFont="1" applyFill="1" applyBorder="1" applyAlignment="1">
      <alignment horizontal="left" vertical="center" wrapText="1"/>
    </xf>
    <xf numFmtId="0" fontId="3" fillId="0" borderId="7" xfId="0" applyFont="1" applyBorder="1"/>
    <xf numFmtId="0" fontId="3" fillId="0" borderId="8" xfId="0" applyFont="1" applyBorder="1"/>
    <xf numFmtId="0" fontId="15" fillId="0" borderId="0" xfId="0" applyFont="1" applyAlignment="1">
      <alignment vertical="center" wrapText="1"/>
    </xf>
    <xf numFmtId="0" fontId="18" fillId="3" borderId="2" xfId="0" applyFont="1" applyFill="1" applyBorder="1" applyAlignment="1">
      <alignment horizontal="center"/>
    </xf>
    <xf numFmtId="0" fontId="18" fillId="2" borderId="2" xfId="0" applyFont="1" applyFill="1" applyBorder="1" applyAlignment="1">
      <alignment horizontal="center" vertical="center"/>
    </xf>
    <xf numFmtId="0" fontId="15" fillId="0" borderId="0" xfId="0" applyFont="1" applyAlignment="1">
      <alignment horizontal="left" wrapText="1"/>
    </xf>
    <xf numFmtId="0" fontId="24" fillId="0" borderId="0" xfId="0" applyFont="1" applyAlignment="1">
      <alignment vertical="top" wrapText="1"/>
    </xf>
    <xf numFmtId="0" fontId="18" fillId="3" borderId="2" xfId="0" applyFont="1" applyFill="1" applyBorder="1" applyAlignment="1">
      <alignment horizontal="center" vertical="center" wrapText="1"/>
    </xf>
    <xf numFmtId="0" fontId="13" fillId="0" borderId="0" xfId="0" applyFont="1" applyAlignment="1">
      <alignment vertical="top" wrapText="1"/>
    </xf>
    <xf numFmtId="0" fontId="18" fillId="10"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showGridLines="0" tabSelected="1" workbookViewId="0"/>
  </sheetViews>
  <sheetFormatPr defaultColWidth="14.42578125" defaultRowHeight="15" customHeight="1" x14ac:dyDescent="0.25"/>
  <cols>
    <col min="1" max="1" width="4" customWidth="1"/>
    <col min="2" max="2" width="52" customWidth="1"/>
    <col min="3" max="6" width="26" customWidth="1"/>
    <col min="7" max="26" width="8.7109375" customWidth="1"/>
  </cols>
  <sheetData>
    <row r="1" spans="1:4" x14ac:dyDescent="0.25">
      <c r="A1" s="1"/>
      <c r="B1" s="1"/>
      <c r="C1" s="1"/>
      <c r="D1" s="1"/>
    </row>
    <row r="2" spans="1:4" x14ac:dyDescent="0.25">
      <c r="A2" s="1"/>
      <c r="B2" s="1"/>
      <c r="C2" s="1"/>
      <c r="D2" s="1"/>
    </row>
    <row r="3" spans="1:4" ht="30" customHeight="1" x14ac:dyDescent="0.25">
      <c r="A3" s="1"/>
      <c r="B3" s="109" t="s">
        <v>0</v>
      </c>
      <c r="C3" s="110"/>
      <c r="D3" s="111"/>
    </row>
    <row r="4" spans="1:4" ht="25.5" customHeight="1" x14ac:dyDescent="0.25">
      <c r="A4" s="1"/>
      <c r="B4" s="112" t="s">
        <v>1</v>
      </c>
      <c r="C4" s="110"/>
      <c r="D4" s="111"/>
    </row>
    <row r="5" spans="1:4" ht="21.75" customHeight="1" x14ac:dyDescent="0.25">
      <c r="A5" s="1"/>
      <c r="B5" s="113" t="s">
        <v>2</v>
      </c>
      <c r="C5" s="110"/>
      <c r="D5" s="111"/>
    </row>
    <row r="6" spans="1:4" x14ac:dyDescent="0.25">
      <c r="A6" s="1"/>
      <c r="B6" s="1"/>
      <c r="C6" s="1"/>
      <c r="D6" s="1"/>
    </row>
    <row r="7" spans="1:4" x14ac:dyDescent="0.25">
      <c r="A7" s="1"/>
      <c r="B7" s="1"/>
      <c r="C7" s="1"/>
      <c r="D7" s="1"/>
    </row>
    <row r="9" spans="1:4" x14ac:dyDescent="0.25">
      <c r="B9" s="2" t="s">
        <v>3</v>
      </c>
    </row>
    <row r="10" spans="1:4" ht="69.75" customHeight="1" x14ac:dyDescent="0.25">
      <c r="B10" s="114" t="s">
        <v>4</v>
      </c>
      <c r="C10" s="115"/>
      <c r="D10" s="115"/>
    </row>
    <row r="11" spans="1:4" ht="15" customHeight="1" x14ac:dyDescent="0.25">
      <c r="B11" s="115"/>
      <c r="C11" s="115"/>
      <c r="D11" s="115"/>
    </row>
    <row r="13" spans="1:4" ht="18" customHeight="1" x14ac:dyDescent="0.25">
      <c r="B13" s="4" t="s">
        <v>5</v>
      </c>
      <c r="C13" s="3" t="s">
        <v>6</v>
      </c>
    </row>
    <row r="14" spans="1:4" ht="42.75" customHeight="1" x14ac:dyDescent="0.25">
      <c r="B14" s="4" t="s">
        <v>7</v>
      </c>
      <c r="C14" s="3" t="s">
        <v>8</v>
      </c>
    </row>
    <row r="15" spans="1:4" ht="39.75" customHeight="1" x14ac:dyDescent="0.25">
      <c r="B15" s="4" t="s">
        <v>9</v>
      </c>
      <c r="C15" s="3" t="s">
        <v>10</v>
      </c>
    </row>
    <row r="16" spans="1:4" ht="49.5" customHeight="1" x14ac:dyDescent="0.25">
      <c r="B16" s="4" t="s">
        <v>11</v>
      </c>
      <c r="C16" s="3" t="s">
        <v>12</v>
      </c>
    </row>
    <row r="17" spans="2:5" ht="42" customHeight="1" x14ac:dyDescent="0.25">
      <c r="B17" s="4" t="s">
        <v>13</v>
      </c>
      <c r="C17" s="3" t="s">
        <v>14</v>
      </c>
    </row>
    <row r="18" spans="2:5" ht="57.75" customHeight="1" x14ac:dyDescent="0.25">
      <c r="B18" s="4" t="s">
        <v>15</v>
      </c>
      <c r="C18" s="3" t="s">
        <v>16</v>
      </c>
    </row>
    <row r="19" spans="2:5" ht="39" customHeight="1" x14ac:dyDescent="0.25">
      <c r="B19" s="4" t="s">
        <v>17</v>
      </c>
      <c r="C19" s="3" t="s">
        <v>18</v>
      </c>
    </row>
    <row r="20" spans="2:5" ht="57" customHeight="1" x14ac:dyDescent="0.25">
      <c r="B20" s="4" t="s">
        <v>19</v>
      </c>
      <c r="C20" s="3" t="s">
        <v>20</v>
      </c>
    </row>
    <row r="21" spans="2:5" ht="18" customHeight="1" x14ac:dyDescent="0.25">
      <c r="B21" s="4" t="s">
        <v>21</v>
      </c>
      <c r="C21" s="3" t="s">
        <v>22</v>
      </c>
    </row>
    <row r="22" spans="2:5" ht="15.75" customHeight="1" x14ac:dyDescent="0.25"/>
    <row r="23" spans="2:5" ht="15.75" customHeight="1" x14ac:dyDescent="0.25"/>
    <row r="24" spans="2:5" ht="31.5" customHeight="1" x14ac:dyDescent="0.25">
      <c r="B24" s="2" t="s">
        <v>23</v>
      </c>
    </row>
    <row r="25" spans="2:5" ht="31.5" customHeight="1" x14ac:dyDescent="0.25">
      <c r="B25" s="5" t="s">
        <v>24</v>
      </c>
      <c r="C25" s="5" t="s">
        <v>25</v>
      </c>
      <c r="D25" s="5" t="s">
        <v>26</v>
      </c>
      <c r="E25" s="6" t="s">
        <v>27</v>
      </c>
    </row>
    <row r="26" spans="2:5" ht="21.75" customHeight="1" x14ac:dyDescent="0.25">
      <c r="B26" s="7" t="s">
        <v>28</v>
      </c>
      <c r="C26" s="8" t="s">
        <v>29</v>
      </c>
      <c r="D26" s="8" t="s">
        <v>30</v>
      </c>
      <c r="E26" s="9" t="s">
        <v>31</v>
      </c>
    </row>
    <row r="27" spans="2:5" ht="21.75" customHeight="1" x14ac:dyDescent="0.25">
      <c r="B27" s="10" t="s">
        <v>32</v>
      </c>
      <c r="C27" s="11" t="s">
        <v>33</v>
      </c>
      <c r="D27" s="11" t="s">
        <v>34</v>
      </c>
      <c r="E27" s="12" t="s">
        <v>35</v>
      </c>
    </row>
    <row r="28" spans="2:5" ht="21.75" customHeight="1" x14ac:dyDescent="0.25">
      <c r="B28" s="13" t="s">
        <v>36</v>
      </c>
      <c r="C28" s="14" t="s">
        <v>37</v>
      </c>
      <c r="D28" s="14" t="s">
        <v>38</v>
      </c>
      <c r="E28" s="15" t="s">
        <v>39</v>
      </c>
    </row>
    <row r="29" spans="2:5" ht="21.75" customHeight="1" x14ac:dyDescent="0.25">
      <c r="B29" s="16" t="s">
        <v>40</v>
      </c>
      <c r="C29" s="17" t="s">
        <v>41</v>
      </c>
      <c r="D29" s="17" t="s">
        <v>42</v>
      </c>
      <c r="E29" s="18" t="s">
        <v>43</v>
      </c>
    </row>
    <row r="30" spans="2:5" ht="21.75" customHeight="1" x14ac:dyDescent="0.25">
      <c r="B30" s="19" t="s">
        <v>44</v>
      </c>
      <c r="C30" s="20" t="s">
        <v>45</v>
      </c>
      <c r="D30" s="20" t="s">
        <v>46</v>
      </c>
      <c r="E30" s="21" t="s">
        <v>47</v>
      </c>
    </row>
    <row r="31" spans="2:5" ht="15.75" customHeight="1" x14ac:dyDescent="0.25"/>
    <row r="32" spans="2:5" ht="15.75" customHeight="1" x14ac:dyDescent="0.25"/>
    <row r="33" spans="2:6" ht="19.5" customHeight="1" x14ac:dyDescent="0.25">
      <c r="B33" s="2" t="s">
        <v>48</v>
      </c>
    </row>
    <row r="34" spans="2:6" ht="21.75" customHeight="1" x14ac:dyDescent="0.25">
      <c r="B34" s="22" t="s">
        <v>49</v>
      </c>
      <c r="C34" s="22" t="s">
        <v>50</v>
      </c>
      <c r="D34" s="22" t="s">
        <v>51</v>
      </c>
      <c r="E34" s="22" t="s">
        <v>52</v>
      </c>
      <c r="F34" s="22" t="s">
        <v>53</v>
      </c>
    </row>
    <row r="35" spans="2:6" ht="21.75" customHeight="1" x14ac:dyDescent="0.25">
      <c r="B35" s="23" t="s">
        <v>54</v>
      </c>
      <c r="C35" s="23" t="s">
        <v>55</v>
      </c>
      <c r="D35" s="24" t="s">
        <v>56</v>
      </c>
      <c r="E35" s="25" t="s">
        <v>57</v>
      </c>
      <c r="F35" s="26" t="s">
        <v>58</v>
      </c>
    </row>
    <row r="36" spans="2:6" ht="21.75" customHeight="1" x14ac:dyDescent="0.25">
      <c r="B36" s="24" t="s">
        <v>59</v>
      </c>
      <c r="C36" s="23" t="s">
        <v>60</v>
      </c>
      <c r="D36" s="24" t="s">
        <v>61</v>
      </c>
      <c r="E36" s="25" t="s">
        <v>62</v>
      </c>
      <c r="F36" s="26" t="s">
        <v>63</v>
      </c>
    </row>
    <row r="37" spans="2:6" ht="21.75" customHeight="1" x14ac:dyDescent="0.25">
      <c r="B37" s="27" t="s">
        <v>64</v>
      </c>
      <c r="C37" s="23" t="s">
        <v>65</v>
      </c>
      <c r="D37" s="24" t="s">
        <v>66</v>
      </c>
      <c r="E37" s="25" t="s">
        <v>67</v>
      </c>
      <c r="F37" s="26" t="s">
        <v>68</v>
      </c>
    </row>
    <row r="38" spans="2:6" ht="21.75" customHeight="1" x14ac:dyDescent="0.25">
      <c r="B38" s="25" t="s">
        <v>69</v>
      </c>
      <c r="C38" s="23" t="s">
        <v>70</v>
      </c>
      <c r="D38" s="24" t="s">
        <v>71</v>
      </c>
      <c r="E38" s="25" t="s">
        <v>72</v>
      </c>
      <c r="F38" s="26" t="s">
        <v>73</v>
      </c>
    </row>
    <row r="39" spans="2:6" ht="21.75" customHeight="1" x14ac:dyDescent="0.25">
      <c r="B39" s="26" t="s">
        <v>74</v>
      </c>
      <c r="C39" s="23" t="s">
        <v>75</v>
      </c>
      <c r="D39" s="24" t="s">
        <v>76</v>
      </c>
      <c r="E39" s="25" t="s">
        <v>77</v>
      </c>
      <c r="F39" s="26" t="s">
        <v>78</v>
      </c>
    </row>
    <row r="40" spans="2:6" ht="15.75" customHeight="1" x14ac:dyDescent="0.25"/>
    <row r="41" spans="2:6" ht="15.75" customHeight="1" x14ac:dyDescent="0.25"/>
    <row r="42" spans="2:6" ht="39.75" customHeight="1" x14ac:dyDescent="0.25">
      <c r="B42" s="116" t="s">
        <v>79</v>
      </c>
      <c r="C42" s="115"/>
      <c r="D42" s="115"/>
      <c r="E42" s="115"/>
      <c r="F42" s="115"/>
    </row>
    <row r="43" spans="2:6" ht="15.75" customHeight="1" x14ac:dyDescent="0.25"/>
    <row r="44" spans="2:6" ht="15.75" customHeight="1" x14ac:dyDescent="0.25"/>
    <row r="45" spans="2:6" ht="15.75" customHeight="1" x14ac:dyDescent="0.25"/>
    <row r="46" spans="2:6" ht="15.75" customHeight="1" x14ac:dyDescent="0.25"/>
    <row r="47" spans="2:6" ht="15.75" customHeight="1" x14ac:dyDescent="0.25"/>
    <row r="48" spans="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B3:D3"/>
    <mergeCell ref="B4:D4"/>
    <mergeCell ref="B5:D5"/>
    <mergeCell ref="B10:D11"/>
    <mergeCell ref="B42:F42"/>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1000"/>
  <sheetViews>
    <sheetView showGridLines="0" workbookViewId="0"/>
  </sheetViews>
  <sheetFormatPr defaultColWidth="14.42578125" defaultRowHeight="15" customHeight="1" x14ac:dyDescent="0.25"/>
  <cols>
    <col min="1" max="1" width="3" customWidth="1"/>
    <col min="2" max="2" width="40" customWidth="1"/>
    <col min="3" max="5" width="16" customWidth="1"/>
    <col min="6" max="6" width="52" customWidth="1"/>
    <col min="7" max="26" width="8.7109375" customWidth="1"/>
  </cols>
  <sheetData>
    <row r="2" spans="2:7" ht="25.5" customHeight="1" x14ac:dyDescent="0.25">
      <c r="B2" s="117" t="s">
        <v>80</v>
      </c>
      <c r="C2" s="110"/>
      <c r="D2" s="110"/>
      <c r="E2" s="110"/>
      <c r="F2" s="111"/>
    </row>
    <row r="3" spans="2:7" ht="54.75" customHeight="1" x14ac:dyDescent="0.25">
      <c r="B3" s="118" t="s">
        <v>81</v>
      </c>
      <c r="C3" s="115"/>
      <c r="D3" s="115"/>
      <c r="E3" s="115"/>
      <c r="F3" s="115"/>
    </row>
    <row r="4" spans="2:7" ht="15" customHeight="1" x14ac:dyDescent="0.25">
      <c r="B4" s="115"/>
      <c r="C4" s="115"/>
      <c r="D4" s="115"/>
      <c r="E4" s="115"/>
      <c r="F4" s="115"/>
    </row>
    <row r="6" spans="2:7" ht="42" customHeight="1" x14ac:dyDescent="0.25">
      <c r="B6" s="6" t="s">
        <v>82</v>
      </c>
      <c r="C6" s="6" t="s">
        <v>83</v>
      </c>
      <c r="D6" s="6" t="s">
        <v>84</v>
      </c>
      <c r="E6" s="6" t="s">
        <v>85</v>
      </c>
      <c r="F6" s="6" t="s">
        <v>86</v>
      </c>
      <c r="G6" s="6" t="s">
        <v>87</v>
      </c>
    </row>
    <row r="7" spans="2:7" ht="39.75" customHeight="1" x14ac:dyDescent="0.25">
      <c r="B7" s="28" t="s">
        <v>54</v>
      </c>
      <c r="C7" s="9" t="s">
        <v>88</v>
      </c>
      <c r="D7" s="29">
        <v>0.35</v>
      </c>
      <c r="E7" s="29">
        <v>0.2</v>
      </c>
      <c r="F7" s="29">
        <v>0.15</v>
      </c>
      <c r="G7" s="30" t="s">
        <v>89</v>
      </c>
    </row>
    <row r="8" spans="2:7" ht="39.75" customHeight="1" x14ac:dyDescent="0.25">
      <c r="B8" s="31" t="s">
        <v>59</v>
      </c>
      <c r="C8" s="12" t="s">
        <v>90</v>
      </c>
      <c r="D8" s="32">
        <v>0.2</v>
      </c>
      <c r="E8" s="32">
        <v>0.35</v>
      </c>
      <c r="F8" s="32">
        <v>0.2</v>
      </c>
      <c r="G8" s="30" t="s">
        <v>91</v>
      </c>
    </row>
    <row r="9" spans="2:7" ht="39.75" customHeight="1" x14ac:dyDescent="0.25">
      <c r="B9" s="33" t="s">
        <v>92</v>
      </c>
      <c r="C9" s="15" t="s">
        <v>93</v>
      </c>
      <c r="D9" s="34">
        <v>0.15</v>
      </c>
      <c r="E9" s="34">
        <v>0.15</v>
      </c>
      <c r="F9" s="34">
        <v>0.1</v>
      </c>
      <c r="G9" s="30" t="s">
        <v>94</v>
      </c>
    </row>
    <row r="10" spans="2:7" ht="39.75" customHeight="1" x14ac:dyDescent="0.25">
      <c r="B10" s="35" t="s">
        <v>69</v>
      </c>
      <c r="C10" s="18" t="s">
        <v>95</v>
      </c>
      <c r="D10" s="36">
        <v>0.2</v>
      </c>
      <c r="E10" s="36">
        <v>0.2</v>
      </c>
      <c r="F10" s="36">
        <v>0.35</v>
      </c>
      <c r="G10" s="30" t="s">
        <v>96</v>
      </c>
    </row>
    <row r="11" spans="2:7" ht="39.75" customHeight="1" x14ac:dyDescent="0.25">
      <c r="B11" s="37" t="s">
        <v>97</v>
      </c>
      <c r="C11" s="21" t="s">
        <v>98</v>
      </c>
      <c r="D11" s="38">
        <v>0.1</v>
      </c>
      <c r="E11" s="38">
        <v>0.1</v>
      </c>
      <c r="F11" s="38">
        <v>0.2</v>
      </c>
      <c r="G11" s="30" t="s">
        <v>99</v>
      </c>
    </row>
    <row r="12" spans="2:7" ht="18" customHeight="1" x14ac:dyDescent="0.25">
      <c r="B12" s="39" t="s">
        <v>100</v>
      </c>
      <c r="C12" s="40"/>
      <c r="D12" s="41">
        <f t="shared" ref="D12:F12" si="0">SUM(D7:D11)</f>
        <v>1.0000000000000002</v>
      </c>
      <c r="E12" s="41">
        <f t="shared" si="0"/>
        <v>1.0000000000000002</v>
      </c>
      <c r="F12" s="41">
        <f t="shared" si="0"/>
        <v>1</v>
      </c>
    </row>
    <row r="14" spans="2:7" ht="21.75" customHeight="1" x14ac:dyDescent="0.25">
      <c r="B14" s="119" t="s">
        <v>101</v>
      </c>
      <c r="C14" s="110"/>
      <c r="D14" s="110"/>
      <c r="E14" s="110"/>
      <c r="F14" s="111"/>
    </row>
    <row r="15" spans="2:7" ht="18" customHeight="1" x14ac:dyDescent="0.25">
      <c r="B15" s="42" t="s">
        <v>102</v>
      </c>
      <c r="C15" s="42" t="s">
        <v>50</v>
      </c>
      <c r="D15" s="42" t="s">
        <v>51</v>
      </c>
      <c r="E15" s="42" t="s">
        <v>52</v>
      </c>
      <c r="F15" s="42" t="s">
        <v>53</v>
      </c>
    </row>
    <row r="16" spans="2:7" ht="21.75" customHeight="1" x14ac:dyDescent="0.25">
      <c r="B16" s="43" t="s">
        <v>103</v>
      </c>
      <c r="C16" s="23" t="s">
        <v>104</v>
      </c>
      <c r="D16" s="24" t="s">
        <v>105</v>
      </c>
      <c r="E16" s="25" t="s">
        <v>106</v>
      </c>
      <c r="F16" s="26" t="s">
        <v>107</v>
      </c>
    </row>
    <row r="17" spans="2:6" ht="21.75" customHeight="1" x14ac:dyDescent="0.25">
      <c r="B17" s="43" t="s">
        <v>108</v>
      </c>
      <c r="C17" s="23" t="s">
        <v>109</v>
      </c>
      <c r="D17" s="24" t="s">
        <v>110</v>
      </c>
      <c r="E17" s="25" t="s">
        <v>111</v>
      </c>
      <c r="F17" s="26" t="s">
        <v>112</v>
      </c>
    </row>
    <row r="18" spans="2:6" ht="21.75" customHeight="1" x14ac:dyDescent="0.25">
      <c r="B18" s="43" t="s">
        <v>113</v>
      </c>
      <c r="C18" s="23" t="s">
        <v>114</v>
      </c>
      <c r="D18" s="24" t="s">
        <v>115</v>
      </c>
      <c r="E18" s="25" t="s">
        <v>116</v>
      </c>
      <c r="F18" s="26" t="s">
        <v>117</v>
      </c>
    </row>
    <row r="21" spans="2:6" ht="15.75" customHeight="1" x14ac:dyDescent="0.25"/>
    <row r="22" spans="2:6" ht="15.75" customHeight="1" x14ac:dyDescent="0.25"/>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B2:F2"/>
    <mergeCell ref="B3:F4"/>
    <mergeCell ref="B14:F14"/>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P1000"/>
  <sheetViews>
    <sheetView showGridLines="0" workbookViewId="0">
      <pane ySplit="6" topLeftCell="A7" activePane="bottomLeft" state="frozen"/>
      <selection pane="bottomLeft" activeCell="B8" sqref="B8"/>
    </sheetView>
  </sheetViews>
  <sheetFormatPr defaultColWidth="14.42578125" defaultRowHeight="15" customHeight="1" x14ac:dyDescent="0.25"/>
  <cols>
    <col min="1" max="1" width="3" customWidth="1"/>
    <col min="2" max="2" width="5" customWidth="1"/>
    <col min="3" max="4" width="28" customWidth="1"/>
    <col min="5" max="6" width="38" customWidth="1"/>
    <col min="7" max="7" width="26" customWidth="1"/>
    <col min="8" max="8" width="20" customWidth="1"/>
    <col min="9" max="11" width="10" customWidth="1"/>
    <col min="12" max="13" width="12" customWidth="1"/>
    <col min="14" max="15" width="30" customWidth="1"/>
    <col min="16" max="26" width="8.7109375" customWidth="1"/>
  </cols>
  <sheetData>
    <row r="2" spans="2:16" ht="25.5" customHeight="1" x14ac:dyDescent="0.25">
      <c r="B2" s="117" t="s">
        <v>118</v>
      </c>
      <c r="C2" s="110"/>
      <c r="D2" s="110"/>
      <c r="E2" s="110"/>
      <c r="F2" s="110"/>
      <c r="G2" s="110"/>
      <c r="H2" s="110"/>
      <c r="I2" s="110"/>
      <c r="J2" s="110"/>
      <c r="K2" s="110"/>
      <c r="L2" s="110"/>
      <c r="M2" s="110"/>
      <c r="N2" s="110"/>
      <c r="O2" s="111"/>
    </row>
    <row r="3" spans="2:16" ht="15.75" customHeight="1" x14ac:dyDescent="0.25">
      <c r="B3" s="120" t="s">
        <v>119</v>
      </c>
      <c r="C3" s="110"/>
      <c r="D3" s="110"/>
      <c r="E3" s="110"/>
      <c r="F3" s="110"/>
      <c r="G3" s="110"/>
      <c r="H3" s="110"/>
      <c r="I3" s="110"/>
      <c r="J3" s="110"/>
      <c r="K3" s="110"/>
      <c r="L3" s="110"/>
      <c r="M3" s="110"/>
      <c r="N3" s="110"/>
      <c r="O3" s="111"/>
    </row>
    <row r="4" spans="2:16" ht="21.75" customHeight="1" x14ac:dyDescent="0.25">
      <c r="B4" s="121" t="s">
        <v>120</v>
      </c>
      <c r="C4" s="110"/>
      <c r="D4" s="110"/>
      <c r="E4" s="110"/>
      <c r="F4" s="110"/>
      <c r="G4" s="110"/>
      <c r="H4" s="110"/>
      <c r="I4" s="110"/>
      <c r="J4" s="110"/>
      <c r="K4" s="110"/>
      <c r="L4" s="110"/>
      <c r="M4" s="110"/>
      <c r="N4" s="110"/>
      <c r="O4" s="111"/>
    </row>
    <row r="6" spans="2:16" ht="54.75" customHeight="1" x14ac:dyDescent="0.25">
      <c r="B6" s="44" t="s">
        <v>121</v>
      </c>
      <c r="C6" s="44" t="s">
        <v>122</v>
      </c>
      <c r="D6" s="44" t="s">
        <v>123</v>
      </c>
      <c r="E6" s="44" t="s">
        <v>124</v>
      </c>
      <c r="F6" s="44" t="s">
        <v>125</v>
      </c>
      <c r="G6" s="44" t="s">
        <v>126</v>
      </c>
      <c r="H6" s="44" t="s">
        <v>127</v>
      </c>
      <c r="I6" s="44" t="s">
        <v>128</v>
      </c>
      <c r="J6" s="44" t="s">
        <v>129</v>
      </c>
      <c r="K6" s="44" t="s">
        <v>130</v>
      </c>
      <c r="L6" s="44" t="s">
        <v>131</v>
      </c>
      <c r="M6" s="44" t="s">
        <v>132</v>
      </c>
      <c r="N6" s="44" t="s">
        <v>133</v>
      </c>
      <c r="O6" s="44" t="s">
        <v>134</v>
      </c>
      <c r="P6" s="44" t="s">
        <v>135</v>
      </c>
    </row>
    <row r="7" spans="2:16" ht="30" customHeight="1" x14ac:dyDescent="0.25">
      <c r="B7" s="122" t="s">
        <v>136</v>
      </c>
      <c r="C7" s="123"/>
      <c r="D7" s="123"/>
      <c r="E7" s="123"/>
      <c r="F7" s="123"/>
      <c r="G7" s="123"/>
      <c r="H7" s="123"/>
      <c r="I7" s="123"/>
      <c r="J7" s="123"/>
      <c r="K7" s="123"/>
      <c r="L7" s="123"/>
      <c r="M7" s="123"/>
      <c r="N7" s="123"/>
      <c r="O7" s="124"/>
    </row>
    <row r="8" spans="2:16" ht="72" customHeight="1" x14ac:dyDescent="0.25">
      <c r="B8" s="45">
        <v>1</v>
      </c>
      <c r="C8" s="46"/>
      <c r="D8" s="46" t="s">
        <v>137</v>
      </c>
      <c r="E8" s="46" t="s">
        <v>138</v>
      </c>
      <c r="F8" s="46" t="s">
        <v>139</v>
      </c>
      <c r="G8" s="46" t="s">
        <v>140</v>
      </c>
      <c r="H8" s="46" t="s">
        <v>141</v>
      </c>
      <c r="I8" s="46" t="s">
        <v>142</v>
      </c>
      <c r="J8" s="47"/>
      <c r="K8" s="47"/>
      <c r="L8" s="48" t="str">
        <f t="shared" ref="L8:L12" si="0">IF(AND(ISNUMBER(J8),ISNUMBER(K8)),J8*K8,"")</f>
        <v/>
      </c>
      <c r="M8" s="47"/>
      <c r="N8" s="48" t="str">
        <f t="shared" ref="N8:N12" si="1">IF(AND(ISNUMBER(K8),ISNUMBER(L8),L8&lt;&gt;0),K8/L8,"")</f>
        <v/>
      </c>
      <c r="O8" s="46" t="s">
        <v>143</v>
      </c>
      <c r="P8" s="49" t="s">
        <v>144</v>
      </c>
    </row>
    <row r="9" spans="2:16" ht="72" customHeight="1" x14ac:dyDescent="0.25">
      <c r="B9" s="45">
        <v>2</v>
      </c>
      <c r="C9" s="46"/>
      <c r="D9" s="46" t="s">
        <v>145</v>
      </c>
      <c r="E9" s="46" t="s">
        <v>146</v>
      </c>
      <c r="F9" s="46" t="s">
        <v>147</v>
      </c>
      <c r="G9" s="46" t="s">
        <v>148</v>
      </c>
      <c r="H9" s="46" t="s">
        <v>149</v>
      </c>
      <c r="I9" s="46" t="s">
        <v>150</v>
      </c>
      <c r="J9" s="47"/>
      <c r="K9" s="47"/>
      <c r="L9" s="48" t="str">
        <f t="shared" si="0"/>
        <v/>
      </c>
      <c r="M9" s="47"/>
      <c r="N9" s="48" t="str">
        <f t="shared" si="1"/>
        <v/>
      </c>
      <c r="O9" s="46" t="s">
        <v>151</v>
      </c>
      <c r="P9" s="49" t="s">
        <v>144</v>
      </c>
    </row>
    <row r="10" spans="2:16" ht="72" customHeight="1" x14ac:dyDescent="0.25">
      <c r="B10" s="45">
        <v>3</v>
      </c>
      <c r="C10" s="46"/>
      <c r="D10" s="46" t="s">
        <v>152</v>
      </c>
      <c r="E10" s="46" t="s">
        <v>153</v>
      </c>
      <c r="F10" s="46" t="s">
        <v>154</v>
      </c>
      <c r="G10" s="46" t="s">
        <v>155</v>
      </c>
      <c r="H10" s="46" t="s">
        <v>156</v>
      </c>
      <c r="I10" s="46" t="s">
        <v>157</v>
      </c>
      <c r="J10" s="47"/>
      <c r="K10" s="47"/>
      <c r="L10" s="48" t="str">
        <f t="shared" si="0"/>
        <v/>
      </c>
      <c r="M10" s="47"/>
      <c r="N10" s="48" t="str">
        <f t="shared" si="1"/>
        <v/>
      </c>
      <c r="O10" s="46" t="s">
        <v>158</v>
      </c>
      <c r="P10" s="49" t="s">
        <v>144</v>
      </c>
    </row>
    <row r="11" spans="2:16" ht="72" customHeight="1" x14ac:dyDescent="0.25">
      <c r="B11" s="45">
        <v>4</v>
      </c>
      <c r="C11" s="46"/>
      <c r="D11" s="46" t="s">
        <v>159</v>
      </c>
      <c r="E11" s="46" t="s">
        <v>160</v>
      </c>
      <c r="F11" s="46" t="s">
        <v>161</v>
      </c>
      <c r="G11" s="46" t="s">
        <v>162</v>
      </c>
      <c r="H11" s="46" t="s">
        <v>163</v>
      </c>
      <c r="I11" s="46" t="s">
        <v>164</v>
      </c>
      <c r="J11" s="47"/>
      <c r="K11" s="47"/>
      <c r="L11" s="48" t="str">
        <f t="shared" si="0"/>
        <v/>
      </c>
      <c r="M11" s="47"/>
      <c r="N11" s="48" t="str">
        <f t="shared" si="1"/>
        <v/>
      </c>
      <c r="O11" s="46" t="s">
        <v>165</v>
      </c>
      <c r="P11" s="49" t="s">
        <v>144</v>
      </c>
    </row>
    <row r="12" spans="2:16" ht="72" customHeight="1" x14ac:dyDescent="0.25">
      <c r="B12" s="45">
        <v>5</v>
      </c>
      <c r="C12" s="46"/>
      <c r="D12" s="46" t="s">
        <v>166</v>
      </c>
      <c r="E12" s="46" t="s">
        <v>167</v>
      </c>
      <c r="F12" s="46" t="s">
        <v>168</v>
      </c>
      <c r="G12" s="46" t="s">
        <v>169</v>
      </c>
      <c r="H12" s="46" t="s">
        <v>170</v>
      </c>
      <c r="I12" s="46" t="s">
        <v>171</v>
      </c>
      <c r="J12" s="47"/>
      <c r="K12" s="47"/>
      <c r="L12" s="48" t="str">
        <f t="shared" si="0"/>
        <v/>
      </c>
      <c r="M12" s="47"/>
      <c r="N12" s="48" t="str">
        <f t="shared" si="1"/>
        <v/>
      </c>
      <c r="O12" s="46" t="s">
        <v>172</v>
      </c>
      <c r="P12" s="49" t="s">
        <v>144</v>
      </c>
    </row>
    <row r="13" spans="2:16" ht="30" customHeight="1" x14ac:dyDescent="0.25">
      <c r="B13" s="122" t="s">
        <v>173</v>
      </c>
      <c r="C13" s="123"/>
      <c r="D13" s="123"/>
      <c r="E13" s="123"/>
      <c r="F13" s="123"/>
      <c r="G13" s="123"/>
      <c r="H13" s="123"/>
      <c r="I13" s="123"/>
      <c r="J13" s="123"/>
      <c r="K13" s="123"/>
      <c r="L13" s="123"/>
      <c r="M13" s="123"/>
      <c r="N13" s="123"/>
      <c r="O13" s="124"/>
    </row>
    <row r="14" spans="2:16" ht="72" customHeight="1" x14ac:dyDescent="0.25">
      <c r="B14" s="45">
        <v>6</v>
      </c>
      <c r="C14" s="50"/>
      <c r="D14" s="50" t="s">
        <v>174</v>
      </c>
      <c r="E14" s="50" t="s">
        <v>175</v>
      </c>
      <c r="F14" s="50" t="s">
        <v>176</v>
      </c>
      <c r="G14" s="50" t="s">
        <v>177</v>
      </c>
      <c r="H14" s="50" t="s">
        <v>178</v>
      </c>
      <c r="I14" s="50" t="s">
        <v>179</v>
      </c>
      <c r="J14" s="47"/>
      <c r="K14" s="47"/>
      <c r="L14" s="51" t="str">
        <f t="shared" ref="L14:L18" si="2">IF(AND(ISNUMBER(J14),ISNUMBER(K14)),J14*K14,"")</f>
        <v/>
      </c>
      <c r="M14" s="47"/>
      <c r="N14" s="51" t="str">
        <f t="shared" ref="N14:N18" si="3">IF(AND(ISNUMBER(K14),ISNUMBER(L14),L14&lt;&gt;0),K14/L14,"")</f>
        <v/>
      </c>
      <c r="O14" s="50" t="s">
        <v>180</v>
      </c>
      <c r="P14" s="49" t="s">
        <v>144</v>
      </c>
    </row>
    <row r="15" spans="2:16" ht="72" customHeight="1" x14ac:dyDescent="0.25">
      <c r="B15" s="45">
        <v>7</v>
      </c>
      <c r="C15" s="50"/>
      <c r="D15" s="50" t="s">
        <v>181</v>
      </c>
      <c r="E15" s="50" t="s">
        <v>182</v>
      </c>
      <c r="F15" s="50" t="s">
        <v>183</v>
      </c>
      <c r="G15" s="50" t="s">
        <v>184</v>
      </c>
      <c r="H15" s="50" t="s">
        <v>185</v>
      </c>
      <c r="I15" s="50" t="s">
        <v>186</v>
      </c>
      <c r="J15" s="47"/>
      <c r="K15" s="47"/>
      <c r="L15" s="51" t="str">
        <f t="shared" si="2"/>
        <v/>
      </c>
      <c r="M15" s="47"/>
      <c r="N15" s="51" t="str">
        <f t="shared" si="3"/>
        <v/>
      </c>
      <c r="O15" s="50" t="s">
        <v>187</v>
      </c>
      <c r="P15" s="49" t="s">
        <v>144</v>
      </c>
    </row>
    <row r="16" spans="2:16" ht="72" customHeight="1" x14ac:dyDescent="0.25">
      <c r="B16" s="45">
        <v>8</v>
      </c>
      <c r="C16" s="50"/>
      <c r="D16" s="50" t="s">
        <v>188</v>
      </c>
      <c r="E16" s="50" t="s">
        <v>189</v>
      </c>
      <c r="F16" s="50" t="s">
        <v>190</v>
      </c>
      <c r="G16" s="50" t="s">
        <v>191</v>
      </c>
      <c r="H16" s="50" t="s">
        <v>192</v>
      </c>
      <c r="I16" s="50" t="s">
        <v>193</v>
      </c>
      <c r="J16" s="47"/>
      <c r="K16" s="47"/>
      <c r="L16" s="51" t="str">
        <f t="shared" si="2"/>
        <v/>
      </c>
      <c r="M16" s="47"/>
      <c r="N16" s="51" t="str">
        <f t="shared" si="3"/>
        <v/>
      </c>
      <c r="O16" s="50" t="s">
        <v>194</v>
      </c>
      <c r="P16" s="49" t="s">
        <v>144</v>
      </c>
    </row>
    <row r="17" spans="2:16" ht="72" customHeight="1" x14ac:dyDescent="0.25">
      <c r="B17" s="45">
        <v>9</v>
      </c>
      <c r="C17" s="50"/>
      <c r="D17" s="50" t="s">
        <v>195</v>
      </c>
      <c r="E17" s="50" t="s">
        <v>196</v>
      </c>
      <c r="F17" s="50" t="s">
        <v>197</v>
      </c>
      <c r="G17" s="50" t="s">
        <v>198</v>
      </c>
      <c r="H17" s="50" t="s">
        <v>199</v>
      </c>
      <c r="I17" s="50" t="s">
        <v>200</v>
      </c>
      <c r="J17" s="47"/>
      <c r="K17" s="47"/>
      <c r="L17" s="51" t="str">
        <f t="shared" si="2"/>
        <v/>
      </c>
      <c r="M17" s="47"/>
      <c r="N17" s="51" t="str">
        <f t="shared" si="3"/>
        <v/>
      </c>
      <c r="O17" s="50" t="s">
        <v>201</v>
      </c>
      <c r="P17" s="49" t="s">
        <v>144</v>
      </c>
    </row>
    <row r="18" spans="2:16" ht="72" customHeight="1" x14ac:dyDescent="0.25">
      <c r="B18" s="45">
        <v>10</v>
      </c>
      <c r="C18" s="50"/>
      <c r="D18" s="50" t="s">
        <v>202</v>
      </c>
      <c r="E18" s="50" t="s">
        <v>203</v>
      </c>
      <c r="F18" s="50" t="s">
        <v>204</v>
      </c>
      <c r="G18" s="50" t="s">
        <v>205</v>
      </c>
      <c r="H18" s="50" t="s">
        <v>206</v>
      </c>
      <c r="I18" s="50" t="s">
        <v>207</v>
      </c>
      <c r="J18" s="47"/>
      <c r="K18" s="47"/>
      <c r="L18" s="51" t="str">
        <f t="shared" si="2"/>
        <v/>
      </c>
      <c r="M18" s="47"/>
      <c r="N18" s="51" t="str">
        <f t="shared" si="3"/>
        <v/>
      </c>
      <c r="O18" s="50" t="s">
        <v>208</v>
      </c>
      <c r="P18" s="49" t="s">
        <v>144</v>
      </c>
    </row>
    <row r="19" spans="2:16" ht="30" customHeight="1" x14ac:dyDescent="0.25">
      <c r="B19" s="122" t="s">
        <v>209</v>
      </c>
      <c r="C19" s="123"/>
      <c r="D19" s="123"/>
      <c r="E19" s="123"/>
      <c r="F19" s="123"/>
      <c r="G19" s="123"/>
      <c r="H19" s="123"/>
      <c r="I19" s="123"/>
      <c r="J19" s="123"/>
      <c r="K19" s="123"/>
      <c r="L19" s="123"/>
      <c r="M19" s="123"/>
      <c r="N19" s="123"/>
      <c r="O19" s="124"/>
    </row>
    <row r="20" spans="2:16" ht="72" customHeight="1" x14ac:dyDescent="0.25">
      <c r="B20" s="45">
        <v>11</v>
      </c>
      <c r="C20" s="52"/>
      <c r="D20" s="52" t="s">
        <v>210</v>
      </c>
      <c r="E20" s="52" t="s">
        <v>211</v>
      </c>
      <c r="F20" s="52" t="s">
        <v>212</v>
      </c>
      <c r="G20" s="52" t="s">
        <v>213</v>
      </c>
      <c r="H20" s="52" t="s">
        <v>214</v>
      </c>
      <c r="I20" s="52" t="s">
        <v>215</v>
      </c>
      <c r="J20" s="47"/>
      <c r="K20" s="47"/>
      <c r="L20" s="53" t="str">
        <f t="shared" ref="L20:L24" si="4">IF(AND(ISNUMBER(J20),ISNUMBER(K20)),J20*K20,"")</f>
        <v/>
      </c>
      <c r="M20" s="47"/>
      <c r="N20" s="53" t="str">
        <f t="shared" ref="N20:N24" si="5">IF(AND(ISNUMBER(K20),ISNUMBER(L20),L20&lt;&gt;0),K20/L20,"")</f>
        <v/>
      </c>
      <c r="O20" s="52" t="s">
        <v>216</v>
      </c>
      <c r="P20" s="49" t="s">
        <v>144</v>
      </c>
    </row>
    <row r="21" spans="2:16" ht="72" customHeight="1" x14ac:dyDescent="0.25">
      <c r="B21" s="45">
        <v>12</v>
      </c>
      <c r="C21" s="52"/>
      <c r="D21" s="52" t="s">
        <v>217</v>
      </c>
      <c r="E21" s="52" t="s">
        <v>218</v>
      </c>
      <c r="F21" s="52" t="s">
        <v>219</v>
      </c>
      <c r="G21" s="52" t="s">
        <v>220</v>
      </c>
      <c r="H21" s="52" t="s">
        <v>221</v>
      </c>
      <c r="I21" s="52" t="s">
        <v>222</v>
      </c>
      <c r="J21" s="47"/>
      <c r="K21" s="47"/>
      <c r="L21" s="53" t="str">
        <f t="shared" si="4"/>
        <v/>
      </c>
      <c r="M21" s="47"/>
      <c r="N21" s="53" t="str">
        <f t="shared" si="5"/>
        <v/>
      </c>
      <c r="O21" s="52" t="s">
        <v>223</v>
      </c>
      <c r="P21" s="49" t="s">
        <v>144</v>
      </c>
    </row>
    <row r="22" spans="2:16" ht="72" customHeight="1" x14ac:dyDescent="0.25">
      <c r="B22" s="45">
        <v>13</v>
      </c>
      <c r="C22" s="52"/>
      <c r="D22" s="52" t="s">
        <v>224</v>
      </c>
      <c r="E22" s="52" t="s">
        <v>225</v>
      </c>
      <c r="F22" s="52" t="s">
        <v>226</v>
      </c>
      <c r="G22" s="52" t="s">
        <v>227</v>
      </c>
      <c r="H22" s="52" t="s">
        <v>228</v>
      </c>
      <c r="I22" s="52" t="s">
        <v>229</v>
      </c>
      <c r="J22" s="47"/>
      <c r="K22" s="47"/>
      <c r="L22" s="53" t="str">
        <f t="shared" si="4"/>
        <v/>
      </c>
      <c r="M22" s="47"/>
      <c r="N22" s="53" t="str">
        <f t="shared" si="5"/>
        <v/>
      </c>
      <c r="O22" s="52" t="s">
        <v>230</v>
      </c>
      <c r="P22" s="49" t="s">
        <v>144</v>
      </c>
    </row>
    <row r="23" spans="2:16" ht="72" customHeight="1" x14ac:dyDescent="0.25">
      <c r="B23" s="45">
        <v>14</v>
      </c>
      <c r="C23" s="52"/>
      <c r="D23" s="52" t="s">
        <v>231</v>
      </c>
      <c r="E23" s="52" t="s">
        <v>232</v>
      </c>
      <c r="F23" s="52" t="s">
        <v>233</v>
      </c>
      <c r="G23" s="52" t="s">
        <v>234</v>
      </c>
      <c r="H23" s="52" t="s">
        <v>235</v>
      </c>
      <c r="I23" s="52" t="s">
        <v>236</v>
      </c>
      <c r="J23" s="47"/>
      <c r="K23" s="47"/>
      <c r="L23" s="53" t="str">
        <f t="shared" si="4"/>
        <v/>
      </c>
      <c r="M23" s="47"/>
      <c r="N23" s="53" t="str">
        <f t="shared" si="5"/>
        <v/>
      </c>
      <c r="O23" s="52" t="s">
        <v>237</v>
      </c>
      <c r="P23" s="49" t="s">
        <v>144</v>
      </c>
    </row>
    <row r="24" spans="2:16" ht="72" customHeight="1" x14ac:dyDescent="0.25">
      <c r="B24" s="45">
        <v>15</v>
      </c>
      <c r="C24" s="52"/>
      <c r="D24" s="52" t="s">
        <v>238</v>
      </c>
      <c r="E24" s="52" t="s">
        <v>239</v>
      </c>
      <c r="F24" s="52" t="s">
        <v>240</v>
      </c>
      <c r="G24" s="52" t="s">
        <v>241</v>
      </c>
      <c r="H24" s="52" t="s">
        <v>242</v>
      </c>
      <c r="I24" s="52" t="s">
        <v>243</v>
      </c>
      <c r="J24" s="47"/>
      <c r="K24" s="47"/>
      <c r="L24" s="53" t="str">
        <f t="shared" si="4"/>
        <v/>
      </c>
      <c r="M24" s="47"/>
      <c r="N24" s="53" t="str">
        <f t="shared" si="5"/>
        <v/>
      </c>
      <c r="O24" s="52" t="s">
        <v>244</v>
      </c>
      <c r="P24" s="49" t="s">
        <v>144</v>
      </c>
    </row>
    <row r="25" spans="2:16" ht="30" customHeight="1" x14ac:dyDescent="0.25">
      <c r="B25" s="122" t="s">
        <v>245</v>
      </c>
      <c r="C25" s="123"/>
      <c r="D25" s="123"/>
      <c r="E25" s="123"/>
      <c r="F25" s="123"/>
      <c r="G25" s="123"/>
      <c r="H25" s="123"/>
      <c r="I25" s="123"/>
      <c r="J25" s="123"/>
      <c r="K25" s="123"/>
      <c r="L25" s="123"/>
      <c r="M25" s="123"/>
      <c r="N25" s="123"/>
      <c r="O25" s="124"/>
    </row>
    <row r="26" spans="2:16" ht="72" customHeight="1" x14ac:dyDescent="0.25">
      <c r="B26" s="45">
        <v>16</v>
      </c>
      <c r="C26" s="54"/>
      <c r="D26" s="54" t="s">
        <v>246</v>
      </c>
      <c r="E26" s="54" t="s">
        <v>247</v>
      </c>
      <c r="F26" s="54" t="s">
        <v>248</v>
      </c>
      <c r="G26" s="54" t="s">
        <v>249</v>
      </c>
      <c r="H26" s="54" t="s">
        <v>250</v>
      </c>
      <c r="I26" s="54" t="s">
        <v>251</v>
      </c>
      <c r="J26" s="47"/>
      <c r="K26" s="47"/>
      <c r="L26" s="55" t="str">
        <f t="shared" ref="L26:L30" si="6">IF(AND(ISNUMBER(J26),ISNUMBER(K26)),J26*K26,"")</f>
        <v/>
      </c>
      <c r="M26" s="47"/>
      <c r="N26" s="55" t="str">
        <f t="shared" ref="N26:N30" si="7">IF(AND(ISNUMBER(K26),ISNUMBER(L26),L26&lt;&gt;0),K26/L26,"")</f>
        <v/>
      </c>
      <c r="O26" s="54" t="s">
        <v>252</v>
      </c>
      <c r="P26" s="49" t="s">
        <v>144</v>
      </c>
    </row>
    <row r="27" spans="2:16" ht="72" customHeight="1" x14ac:dyDescent="0.25">
      <c r="B27" s="45">
        <v>17</v>
      </c>
      <c r="C27" s="54"/>
      <c r="D27" s="54" t="s">
        <v>253</v>
      </c>
      <c r="E27" s="54" t="s">
        <v>254</v>
      </c>
      <c r="F27" s="54" t="s">
        <v>255</v>
      </c>
      <c r="G27" s="54" t="s">
        <v>256</v>
      </c>
      <c r="H27" s="54" t="s">
        <v>257</v>
      </c>
      <c r="I27" s="54" t="s">
        <v>193</v>
      </c>
      <c r="J27" s="47"/>
      <c r="K27" s="47"/>
      <c r="L27" s="55" t="str">
        <f t="shared" si="6"/>
        <v/>
      </c>
      <c r="M27" s="47"/>
      <c r="N27" s="55" t="str">
        <f t="shared" si="7"/>
        <v/>
      </c>
      <c r="O27" s="54" t="s">
        <v>258</v>
      </c>
      <c r="P27" s="49" t="s">
        <v>144</v>
      </c>
    </row>
    <row r="28" spans="2:16" ht="72" customHeight="1" x14ac:dyDescent="0.25">
      <c r="B28" s="45">
        <v>18</v>
      </c>
      <c r="C28" s="54"/>
      <c r="D28" s="54" t="s">
        <v>259</v>
      </c>
      <c r="E28" s="54" t="s">
        <v>260</v>
      </c>
      <c r="F28" s="54" t="s">
        <v>261</v>
      </c>
      <c r="G28" s="54" t="s">
        <v>262</v>
      </c>
      <c r="H28" s="54" t="s">
        <v>263</v>
      </c>
      <c r="I28" s="54" t="s">
        <v>264</v>
      </c>
      <c r="J28" s="47"/>
      <c r="K28" s="47"/>
      <c r="L28" s="55" t="str">
        <f t="shared" si="6"/>
        <v/>
      </c>
      <c r="M28" s="47"/>
      <c r="N28" s="55" t="str">
        <f t="shared" si="7"/>
        <v/>
      </c>
      <c r="O28" s="54" t="s">
        <v>265</v>
      </c>
      <c r="P28" s="49" t="s">
        <v>144</v>
      </c>
    </row>
    <row r="29" spans="2:16" ht="72" customHeight="1" x14ac:dyDescent="0.25">
      <c r="B29" s="45">
        <v>19</v>
      </c>
      <c r="C29" s="54"/>
      <c r="D29" s="54" t="s">
        <v>266</v>
      </c>
      <c r="E29" s="54" t="s">
        <v>267</v>
      </c>
      <c r="F29" s="54" t="s">
        <v>268</v>
      </c>
      <c r="G29" s="54" t="s">
        <v>269</v>
      </c>
      <c r="H29" s="54" t="s">
        <v>270</v>
      </c>
      <c r="I29" s="54" t="s">
        <v>271</v>
      </c>
      <c r="J29" s="47"/>
      <c r="K29" s="47"/>
      <c r="L29" s="55" t="str">
        <f t="shared" si="6"/>
        <v/>
      </c>
      <c r="M29" s="47"/>
      <c r="N29" s="55" t="str">
        <f t="shared" si="7"/>
        <v/>
      </c>
      <c r="O29" s="54" t="s">
        <v>272</v>
      </c>
      <c r="P29" s="49" t="s">
        <v>144</v>
      </c>
    </row>
    <row r="30" spans="2:16" ht="72" customHeight="1" x14ac:dyDescent="0.25">
      <c r="B30" s="45">
        <v>20</v>
      </c>
      <c r="C30" s="54"/>
      <c r="D30" s="54" t="s">
        <v>273</v>
      </c>
      <c r="E30" s="54" t="s">
        <v>274</v>
      </c>
      <c r="F30" s="54" t="s">
        <v>275</v>
      </c>
      <c r="G30" s="54" t="s">
        <v>276</v>
      </c>
      <c r="H30" s="54" t="s">
        <v>277</v>
      </c>
      <c r="I30" s="54" t="s">
        <v>278</v>
      </c>
      <c r="J30" s="47"/>
      <c r="K30" s="47"/>
      <c r="L30" s="55" t="str">
        <f t="shared" si="6"/>
        <v/>
      </c>
      <c r="M30" s="47"/>
      <c r="N30" s="55" t="str">
        <f t="shared" si="7"/>
        <v/>
      </c>
      <c r="O30" s="54" t="s">
        <v>279</v>
      </c>
      <c r="P30" s="49" t="s">
        <v>144</v>
      </c>
    </row>
    <row r="31" spans="2:16" ht="30" customHeight="1" x14ac:dyDescent="0.25">
      <c r="B31" s="122" t="s">
        <v>280</v>
      </c>
      <c r="C31" s="123"/>
      <c r="D31" s="123"/>
      <c r="E31" s="123"/>
      <c r="F31" s="123"/>
      <c r="G31" s="123"/>
      <c r="H31" s="123"/>
      <c r="I31" s="123"/>
      <c r="J31" s="123"/>
      <c r="K31" s="123"/>
      <c r="L31" s="123"/>
      <c r="M31" s="123"/>
      <c r="N31" s="123"/>
      <c r="O31" s="124"/>
    </row>
    <row r="32" spans="2:16" ht="72" customHeight="1" x14ac:dyDescent="0.25">
      <c r="B32" s="45">
        <v>21</v>
      </c>
      <c r="C32" s="56"/>
      <c r="D32" s="56" t="s">
        <v>281</v>
      </c>
      <c r="E32" s="56" t="s">
        <v>282</v>
      </c>
      <c r="F32" s="56" t="s">
        <v>283</v>
      </c>
      <c r="G32" s="56" t="s">
        <v>284</v>
      </c>
      <c r="H32" s="56" t="s">
        <v>285</v>
      </c>
      <c r="I32" s="56" t="s">
        <v>286</v>
      </c>
      <c r="J32" s="47"/>
      <c r="K32" s="47"/>
      <c r="L32" s="57" t="str">
        <f t="shared" ref="L32:L36" si="8">IF(AND(ISNUMBER(J32),ISNUMBER(K32)),J32*K32,"")</f>
        <v/>
      </c>
      <c r="M32" s="47"/>
      <c r="N32" s="57" t="str">
        <f t="shared" ref="N32:N36" si="9">IF(AND(ISNUMBER(K32),ISNUMBER(L32),L32&lt;&gt;0),K32/L32,"")</f>
        <v/>
      </c>
      <c r="O32" s="56" t="s">
        <v>287</v>
      </c>
      <c r="P32" s="49" t="s">
        <v>144</v>
      </c>
    </row>
    <row r="33" spans="2:16" ht="72" customHeight="1" x14ac:dyDescent="0.25">
      <c r="B33" s="45">
        <v>22</v>
      </c>
      <c r="C33" s="56"/>
      <c r="D33" s="56" t="s">
        <v>288</v>
      </c>
      <c r="E33" s="56" t="s">
        <v>289</v>
      </c>
      <c r="F33" s="56" t="s">
        <v>290</v>
      </c>
      <c r="G33" s="56" t="s">
        <v>291</v>
      </c>
      <c r="H33" s="56" t="s">
        <v>292</v>
      </c>
      <c r="I33" s="56" t="s">
        <v>164</v>
      </c>
      <c r="J33" s="47"/>
      <c r="K33" s="47"/>
      <c r="L33" s="57" t="str">
        <f t="shared" si="8"/>
        <v/>
      </c>
      <c r="M33" s="47"/>
      <c r="N33" s="57" t="str">
        <f t="shared" si="9"/>
        <v/>
      </c>
      <c r="O33" s="56" t="s">
        <v>293</v>
      </c>
      <c r="P33" s="49" t="s">
        <v>144</v>
      </c>
    </row>
    <row r="34" spans="2:16" ht="72" customHeight="1" x14ac:dyDescent="0.25">
      <c r="B34" s="45">
        <v>23</v>
      </c>
      <c r="C34" s="56"/>
      <c r="D34" s="56" t="s">
        <v>294</v>
      </c>
      <c r="E34" s="56" t="s">
        <v>295</v>
      </c>
      <c r="F34" s="56" t="s">
        <v>296</v>
      </c>
      <c r="G34" s="56" t="s">
        <v>297</v>
      </c>
      <c r="H34" s="56" t="s">
        <v>298</v>
      </c>
      <c r="I34" s="56" t="s">
        <v>299</v>
      </c>
      <c r="J34" s="47"/>
      <c r="K34" s="47"/>
      <c r="L34" s="57" t="str">
        <f t="shared" si="8"/>
        <v/>
      </c>
      <c r="M34" s="47"/>
      <c r="N34" s="57" t="str">
        <f t="shared" si="9"/>
        <v/>
      </c>
      <c r="O34" s="56" t="s">
        <v>300</v>
      </c>
      <c r="P34" s="49" t="s">
        <v>144</v>
      </c>
    </row>
    <row r="35" spans="2:16" ht="72" customHeight="1" x14ac:dyDescent="0.25">
      <c r="B35" s="45">
        <v>24</v>
      </c>
      <c r="C35" s="56"/>
      <c r="D35" s="56" t="s">
        <v>301</v>
      </c>
      <c r="E35" s="56" t="s">
        <v>302</v>
      </c>
      <c r="F35" s="56" t="s">
        <v>303</v>
      </c>
      <c r="G35" s="56" t="s">
        <v>304</v>
      </c>
      <c r="H35" s="56" t="s">
        <v>305</v>
      </c>
      <c r="I35" s="56" t="s">
        <v>306</v>
      </c>
      <c r="J35" s="47"/>
      <c r="K35" s="47"/>
      <c r="L35" s="57" t="str">
        <f t="shared" si="8"/>
        <v/>
      </c>
      <c r="M35" s="47"/>
      <c r="N35" s="57" t="str">
        <f t="shared" si="9"/>
        <v/>
      </c>
      <c r="O35" s="56" t="s">
        <v>307</v>
      </c>
      <c r="P35" s="49" t="s">
        <v>144</v>
      </c>
    </row>
    <row r="36" spans="2:16" ht="72" customHeight="1" x14ac:dyDescent="0.25">
      <c r="B36" s="45">
        <v>25</v>
      </c>
      <c r="C36" s="56"/>
      <c r="D36" s="56" t="s">
        <v>308</v>
      </c>
      <c r="E36" s="56" t="s">
        <v>309</v>
      </c>
      <c r="F36" s="56" t="s">
        <v>310</v>
      </c>
      <c r="G36" s="56" t="s">
        <v>311</v>
      </c>
      <c r="H36" s="56" t="s">
        <v>312</v>
      </c>
      <c r="I36" s="56" t="s">
        <v>313</v>
      </c>
      <c r="J36" s="47"/>
      <c r="K36" s="47"/>
      <c r="L36" s="57" t="str">
        <f t="shared" si="8"/>
        <v/>
      </c>
      <c r="M36" s="47"/>
      <c r="N36" s="57" t="str">
        <f t="shared" si="9"/>
        <v/>
      </c>
      <c r="O36" s="56" t="s">
        <v>314</v>
      </c>
      <c r="P36" s="49" t="s">
        <v>144</v>
      </c>
    </row>
    <row r="37" spans="2:16" ht="15.75" customHeight="1" x14ac:dyDescent="0.25"/>
    <row r="38" spans="2:16" ht="15.75" customHeight="1" x14ac:dyDescent="0.25"/>
    <row r="39" spans="2:16" ht="15.75" customHeight="1" x14ac:dyDescent="0.25"/>
    <row r="40" spans="2:16" ht="15.75" customHeight="1" x14ac:dyDescent="0.25"/>
    <row r="41" spans="2:16" ht="15.75" customHeight="1" x14ac:dyDescent="0.25"/>
    <row r="42" spans="2:16" ht="15.75" customHeight="1" x14ac:dyDescent="0.25"/>
    <row r="43" spans="2:16" ht="15.75" customHeight="1" x14ac:dyDescent="0.25"/>
    <row r="44" spans="2:16" ht="15.75" customHeight="1" x14ac:dyDescent="0.25"/>
    <row r="45" spans="2:16" ht="15.75" customHeight="1" x14ac:dyDescent="0.25"/>
    <row r="46" spans="2:16" ht="15.75" customHeight="1" x14ac:dyDescent="0.25"/>
    <row r="47" spans="2:16" ht="15.75" customHeight="1" x14ac:dyDescent="0.25"/>
    <row r="48" spans="2: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B19:O19"/>
    <mergeCell ref="B25:O25"/>
    <mergeCell ref="B31:O31"/>
    <mergeCell ref="B2:O2"/>
    <mergeCell ref="B3:O3"/>
    <mergeCell ref="B4:O4"/>
    <mergeCell ref="B7:O7"/>
    <mergeCell ref="B13:O13"/>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1000"/>
  <sheetViews>
    <sheetView showGridLines="0" workbookViewId="0"/>
  </sheetViews>
  <sheetFormatPr defaultColWidth="14.42578125" defaultRowHeight="15" customHeight="1" x14ac:dyDescent="0.25"/>
  <cols>
    <col min="1" max="1" width="3" customWidth="1"/>
    <col min="2" max="2" width="34" customWidth="1"/>
    <col min="3" max="3" width="28" customWidth="1"/>
    <col min="4" max="10" width="14" customWidth="1"/>
    <col min="11" max="26" width="8.7109375" customWidth="1"/>
  </cols>
  <sheetData>
    <row r="2" spans="2:10" ht="25.5" customHeight="1" x14ac:dyDescent="0.25">
      <c r="B2" s="117" t="s">
        <v>315</v>
      </c>
      <c r="C2" s="110"/>
      <c r="D2" s="110"/>
      <c r="E2" s="110"/>
      <c r="F2" s="110"/>
      <c r="G2" s="110"/>
      <c r="H2" s="110"/>
      <c r="I2" s="110"/>
      <c r="J2" s="111"/>
    </row>
    <row r="5" spans="2:10" ht="19.5" customHeight="1" x14ac:dyDescent="0.25">
      <c r="B5" s="58" t="s">
        <v>316</v>
      </c>
      <c r="C5" s="59"/>
      <c r="E5" s="125" t="s">
        <v>317</v>
      </c>
      <c r="F5" s="115"/>
      <c r="G5" s="115"/>
      <c r="H5" s="115"/>
      <c r="I5" s="115"/>
      <c r="J5" s="115"/>
    </row>
    <row r="6" spans="2:10" ht="19.5" customHeight="1" x14ac:dyDescent="0.25">
      <c r="B6" s="58" t="s">
        <v>318</v>
      </c>
      <c r="C6" s="59"/>
      <c r="E6" s="115"/>
      <c r="F6" s="115"/>
      <c r="G6" s="115"/>
      <c r="H6" s="115"/>
      <c r="I6" s="115"/>
      <c r="J6" s="115"/>
    </row>
    <row r="7" spans="2:10" ht="19.5" customHeight="1" x14ac:dyDescent="0.25">
      <c r="B7" s="58" t="s">
        <v>319</v>
      </c>
      <c r="C7" s="59"/>
      <c r="E7" s="115"/>
      <c r="F7" s="115"/>
      <c r="G7" s="115"/>
      <c r="H7" s="115"/>
      <c r="I7" s="115"/>
      <c r="J7" s="115"/>
    </row>
    <row r="8" spans="2:10" ht="19.5" customHeight="1" x14ac:dyDescent="0.25">
      <c r="B8" s="58" t="s">
        <v>320</v>
      </c>
      <c r="C8" s="59"/>
      <c r="E8" s="115"/>
      <c r="F8" s="115"/>
      <c r="G8" s="115"/>
      <c r="H8" s="115"/>
      <c r="I8" s="115"/>
      <c r="J8" s="115"/>
    </row>
    <row r="9" spans="2:10" ht="19.5" customHeight="1" x14ac:dyDescent="0.25">
      <c r="B9" s="58" t="s">
        <v>321</v>
      </c>
      <c r="C9" s="59"/>
    </row>
    <row r="10" spans="2:10" ht="19.5" customHeight="1" x14ac:dyDescent="0.25">
      <c r="B10" s="58" t="s">
        <v>322</v>
      </c>
      <c r="C10" s="59"/>
    </row>
    <row r="11" spans="2:10" ht="19.5" customHeight="1" x14ac:dyDescent="0.25">
      <c r="B11" s="58" t="s">
        <v>323</v>
      </c>
      <c r="C11" s="59"/>
    </row>
    <row r="13" spans="2:10" ht="21.75" customHeight="1" x14ac:dyDescent="0.25">
      <c r="B13" s="126" t="s">
        <v>324</v>
      </c>
      <c r="C13" s="110"/>
      <c r="D13" s="110"/>
      <c r="E13" s="110"/>
      <c r="F13" s="110"/>
      <c r="G13" s="110"/>
      <c r="H13" s="110"/>
      <c r="I13" s="110"/>
      <c r="J13" s="111"/>
    </row>
    <row r="14" spans="2:10" ht="39.75" customHeight="1" x14ac:dyDescent="0.25">
      <c r="B14" s="60" t="s">
        <v>325</v>
      </c>
      <c r="C14" s="60" t="s">
        <v>83</v>
      </c>
      <c r="D14" s="60" t="s">
        <v>326</v>
      </c>
      <c r="E14" s="60" t="s">
        <v>327</v>
      </c>
      <c r="F14" s="60" t="s">
        <v>328</v>
      </c>
      <c r="G14" s="60" t="s">
        <v>329</v>
      </c>
      <c r="H14" s="60" t="s">
        <v>330</v>
      </c>
      <c r="I14" s="60" t="s">
        <v>331</v>
      </c>
      <c r="J14" s="60" t="s">
        <v>332</v>
      </c>
    </row>
    <row r="15" spans="2:10" ht="21.75" customHeight="1" x14ac:dyDescent="0.25">
      <c r="B15" s="61" t="s">
        <v>333</v>
      </c>
      <c r="C15" s="62" t="s">
        <v>31</v>
      </c>
      <c r="D15" s="63">
        <v>0.35</v>
      </c>
      <c r="E15" s="63">
        <v>0.2</v>
      </c>
      <c r="F15" s="63">
        <v>0.15</v>
      </c>
      <c r="G15" s="64"/>
      <c r="H15" s="65" t="str">
        <f t="shared" ref="H15:H19" si="0">IF(ISNUMBER(G15),D15*G15,"")</f>
        <v/>
      </c>
      <c r="I15" s="65" t="str">
        <f t="shared" ref="I15:I19" si="1">IF(ISNUMBER(G15),E15*G15,"")</f>
        <v/>
      </c>
      <c r="J15" s="65" t="str">
        <f t="shared" ref="J15:J19" si="2">IF(ISNUMBER(G15),F15*G15,"")</f>
        <v/>
      </c>
    </row>
    <row r="16" spans="2:10" ht="21.75" customHeight="1" x14ac:dyDescent="0.25">
      <c r="B16" s="66" t="s">
        <v>334</v>
      </c>
      <c r="C16" s="67" t="s">
        <v>35</v>
      </c>
      <c r="D16" s="68">
        <v>0.2</v>
      </c>
      <c r="E16" s="68">
        <v>0.35</v>
      </c>
      <c r="F16" s="68">
        <v>0.2</v>
      </c>
      <c r="G16" s="64"/>
      <c r="H16" s="69" t="str">
        <f t="shared" si="0"/>
        <v/>
      </c>
      <c r="I16" s="69" t="str">
        <f t="shared" si="1"/>
        <v/>
      </c>
      <c r="J16" s="69" t="str">
        <f t="shared" si="2"/>
        <v/>
      </c>
    </row>
    <row r="17" spans="2:10" ht="21.75" customHeight="1" x14ac:dyDescent="0.25">
      <c r="B17" s="70" t="s">
        <v>335</v>
      </c>
      <c r="C17" s="71" t="s">
        <v>39</v>
      </c>
      <c r="D17" s="72">
        <v>0.15</v>
      </c>
      <c r="E17" s="72">
        <v>0.15</v>
      </c>
      <c r="F17" s="72">
        <v>0.1</v>
      </c>
      <c r="G17" s="64"/>
      <c r="H17" s="73" t="str">
        <f t="shared" si="0"/>
        <v/>
      </c>
      <c r="I17" s="73" t="str">
        <f t="shared" si="1"/>
        <v/>
      </c>
      <c r="J17" s="73" t="str">
        <f t="shared" si="2"/>
        <v/>
      </c>
    </row>
    <row r="18" spans="2:10" ht="21.75" customHeight="1" x14ac:dyDescent="0.25">
      <c r="B18" s="74" t="s">
        <v>70</v>
      </c>
      <c r="C18" s="75" t="s">
        <v>43</v>
      </c>
      <c r="D18" s="76">
        <v>0.2</v>
      </c>
      <c r="E18" s="76">
        <v>0.2</v>
      </c>
      <c r="F18" s="76">
        <v>0.35</v>
      </c>
      <c r="G18" s="64"/>
      <c r="H18" s="77" t="str">
        <f t="shared" si="0"/>
        <v/>
      </c>
      <c r="I18" s="77" t="str">
        <f t="shared" si="1"/>
        <v/>
      </c>
      <c r="J18" s="77" t="str">
        <f t="shared" si="2"/>
        <v/>
      </c>
    </row>
    <row r="19" spans="2:10" ht="21.75" customHeight="1" x14ac:dyDescent="0.25">
      <c r="B19" s="78" t="s">
        <v>75</v>
      </c>
      <c r="C19" s="79" t="s">
        <v>47</v>
      </c>
      <c r="D19" s="80">
        <v>0.1</v>
      </c>
      <c r="E19" s="80">
        <v>0.1</v>
      </c>
      <c r="F19" s="80">
        <v>0.2</v>
      </c>
      <c r="G19" s="64"/>
      <c r="H19" s="81" t="str">
        <f t="shared" si="0"/>
        <v/>
      </c>
      <c r="I19" s="81" t="str">
        <f t="shared" si="1"/>
        <v/>
      </c>
      <c r="J19" s="81" t="str">
        <f t="shared" si="2"/>
        <v/>
      </c>
    </row>
    <row r="21" spans="2:10" ht="21.75" customHeight="1" x14ac:dyDescent="0.25">
      <c r="B21" s="127" t="s">
        <v>336</v>
      </c>
      <c r="C21" s="110"/>
      <c r="D21" s="110"/>
      <c r="E21" s="111"/>
    </row>
    <row r="22" spans="2:10" ht="19.5" customHeight="1" x14ac:dyDescent="0.25">
      <c r="B22" s="58" t="s">
        <v>337</v>
      </c>
      <c r="C22" s="82">
        <f>SUM(H15:H19)</f>
        <v>0</v>
      </c>
    </row>
    <row r="23" spans="2:10" ht="19.5" customHeight="1" x14ac:dyDescent="0.25">
      <c r="B23" s="58" t="s">
        <v>338</v>
      </c>
      <c r="C23" s="82">
        <f>SUM(I15:I19)</f>
        <v>0</v>
      </c>
    </row>
    <row r="24" spans="2:10" ht="19.5" customHeight="1" x14ac:dyDescent="0.25">
      <c r="B24" s="58" t="s">
        <v>339</v>
      </c>
      <c r="C24" s="82">
        <f>SUM(J15:J19)</f>
        <v>0</v>
      </c>
    </row>
    <row r="25" spans="2:10" ht="15.75" customHeight="1" x14ac:dyDescent="0.25"/>
    <row r="26" spans="2:10" ht="18" customHeight="1" x14ac:dyDescent="0.25">
      <c r="B26" s="128" t="s">
        <v>340</v>
      </c>
      <c r="C26" s="115"/>
      <c r="D26" s="115"/>
      <c r="E26" s="115"/>
      <c r="F26" s="115"/>
      <c r="G26" s="115"/>
      <c r="H26" s="115"/>
      <c r="I26" s="115"/>
      <c r="J26" s="115"/>
    </row>
    <row r="27" spans="2:10" ht="15.75" customHeight="1" x14ac:dyDescent="0.25"/>
    <row r="28" spans="2:10" ht="79.5" customHeight="1" x14ac:dyDescent="0.25">
      <c r="B28" s="129" t="s">
        <v>341</v>
      </c>
      <c r="C28" s="115"/>
      <c r="D28" s="115"/>
      <c r="E28" s="115"/>
      <c r="F28" s="115"/>
      <c r="G28" s="115"/>
      <c r="H28" s="115"/>
      <c r="I28" s="115"/>
      <c r="J28" s="115"/>
    </row>
    <row r="29" spans="2:10" ht="15.75" customHeight="1" x14ac:dyDescent="0.25">
      <c r="B29" s="115"/>
      <c r="C29" s="115"/>
      <c r="D29" s="115"/>
      <c r="E29" s="115"/>
      <c r="F29" s="115"/>
      <c r="G29" s="115"/>
      <c r="H29" s="115"/>
      <c r="I29" s="115"/>
      <c r="J29" s="115"/>
    </row>
    <row r="30" spans="2:10" ht="15.75" customHeight="1" x14ac:dyDescent="0.25">
      <c r="B30" s="115"/>
      <c r="C30" s="115"/>
      <c r="D30" s="115"/>
      <c r="E30" s="115"/>
      <c r="F30" s="115"/>
      <c r="G30" s="115"/>
      <c r="H30" s="115"/>
      <c r="I30" s="115"/>
      <c r="J30" s="115"/>
    </row>
    <row r="31" spans="2:10" ht="15.75" customHeight="1" x14ac:dyDescent="0.25"/>
    <row r="32" spans="2:10" ht="49.5" customHeight="1" x14ac:dyDescent="0.25">
      <c r="B32" s="116" t="s">
        <v>342</v>
      </c>
      <c r="C32" s="115"/>
      <c r="D32" s="115"/>
      <c r="E32" s="115"/>
      <c r="F32" s="115"/>
      <c r="G32" s="115"/>
      <c r="H32" s="115"/>
      <c r="I32" s="115"/>
      <c r="J32" s="115"/>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B28:J30"/>
    <mergeCell ref="B32:J32"/>
    <mergeCell ref="B2:J2"/>
    <mergeCell ref="E5:J8"/>
    <mergeCell ref="B13:J13"/>
    <mergeCell ref="B21:E21"/>
    <mergeCell ref="B26:J26"/>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1000"/>
  <sheetViews>
    <sheetView showGridLines="0" workbookViewId="0"/>
  </sheetViews>
  <sheetFormatPr defaultColWidth="14.42578125" defaultRowHeight="15" customHeight="1" x14ac:dyDescent="0.25"/>
  <cols>
    <col min="1" max="1" width="3" customWidth="1"/>
    <col min="2" max="2" width="22" customWidth="1"/>
    <col min="3" max="3" width="28" customWidth="1"/>
    <col min="4" max="4" width="20" customWidth="1"/>
    <col min="5" max="7" width="18" customWidth="1"/>
    <col min="8" max="8" width="22" customWidth="1"/>
    <col min="9" max="9" width="28" customWidth="1"/>
    <col min="10" max="26" width="8.7109375" customWidth="1"/>
  </cols>
  <sheetData>
    <row r="2" spans="2:10" ht="25.5" customHeight="1" x14ac:dyDescent="0.25">
      <c r="B2" s="117" t="s">
        <v>343</v>
      </c>
      <c r="C2" s="110"/>
      <c r="D2" s="110"/>
      <c r="E2" s="110"/>
      <c r="F2" s="110"/>
      <c r="G2" s="110"/>
      <c r="H2" s="110"/>
      <c r="I2" s="111"/>
    </row>
    <row r="4" spans="2:10" ht="54.75" customHeight="1" x14ac:dyDescent="0.25">
      <c r="B4" s="118" t="s">
        <v>344</v>
      </c>
      <c r="C4" s="115"/>
      <c r="D4" s="115"/>
      <c r="E4" s="115"/>
      <c r="F4" s="115"/>
      <c r="G4" s="115"/>
      <c r="H4" s="115"/>
      <c r="I4" s="115"/>
    </row>
    <row r="5" spans="2:10" ht="15" customHeight="1" x14ac:dyDescent="0.25">
      <c r="B5" s="115"/>
      <c r="C5" s="115"/>
      <c r="D5" s="115"/>
      <c r="E5" s="115"/>
      <c r="F5" s="115"/>
      <c r="G5" s="115"/>
      <c r="H5" s="115"/>
      <c r="I5" s="115"/>
    </row>
    <row r="7" spans="2:10" ht="36" customHeight="1" x14ac:dyDescent="0.25">
      <c r="B7" s="44" t="s">
        <v>345</v>
      </c>
      <c r="C7" s="44" t="s">
        <v>346</v>
      </c>
      <c r="D7" s="44" t="s">
        <v>347</v>
      </c>
      <c r="E7" s="44" t="s">
        <v>348</v>
      </c>
      <c r="F7" s="44" t="s">
        <v>349</v>
      </c>
      <c r="G7" s="44" t="s">
        <v>350</v>
      </c>
      <c r="H7" s="44" t="s">
        <v>351</v>
      </c>
      <c r="I7" s="44" t="s">
        <v>352</v>
      </c>
      <c r="J7" s="44" t="s">
        <v>353</v>
      </c>
    </row>
    <row r="8" spans="2:10" ht="27.75" customHeight="1" x14ac:dyDescent="0.25">
      <c r="B8" s="83" t="s">
        <v>354</v>
      </c>
      <c r="C8" s="83" t="s">
        <v>355</v>
      </c>
      <c r="D8" s="84" t="s">
        <v>356</v>
      </c>
      <c r="E8" s="84" t="s">
        <v>357</v>
      </c>
      <c r="F8" s="84" t="s">
        <v>358</v>
      </c>
      <c r="G8" s="84" t="s">
        <v>359</v>
      </c>
      <c r="H8" s="84" t="s">
        <v>360</v>
      </c>
      <c r="I8" s="84" t="s">
        <v>361</v>
      </c>
      <c r="J8" s="84" t="s">
        <v>362</v>
      </c>
    </row>
    <row r="9" spans="2:10" ht="27.75" customHeight="1" x14ac:dyDescent="0.25">
      <c r="B9" s="85" t="s">
        <v>363</v>
      </c>
      <c r="C9" s="23" t="s">
        <v>364</v>
      </c>
      <c r="D9" s="86" t="s">
        <v>365</v>
      </c>
      <c r="E9" s="86" t="s">
        <v>366</v>
      </c>
      <c r="F9" s="86" t="s">
        <v>358</v>
      </c>
      <c r="G9" s="86" t="s">
        <v>359</v>
      </c>
      <c r="H9" s="86" t="s">
        <v>360</v>
      </c>
      <c r="I9" s="86" t="s">
        <v>367</v>
      </c>
      <c r="J9" s="86" t="s">
        <v>368</v>
      </c>
    </row>
    <row r="10" spans="2:10" ht="27.75" customHeight="1" x14ac:dyDescent="0.25">
      <c r="B10" s="87" t="s">
        <v>369</v>
      </c>
      <c r="C10" s="24" t="s">
        <v>370</v>
      </c>
      <c r="D10" s="88" t="s">
        <v>371</v>
      </c>
      <c r="E10" s="88" t="s">
        <v>372</v>
      </c>
      <c r="F10" s="88" t="s">
        <v>358</v>
      </c>
      <c r="G10" s="88" t="s">
        <v>359</v>
      </c>
      <c r="H10" s="88" t="s">
        <v>360</v>
      </c>
      <c r="I10" s="88" t="s">
        <v>367</v>
      </c>
      <c r="J10" s="88" t="s">
        <v>368</v>
      </c>
    </row>
    <row r="11" spans="2:10" ht="27.75" customHeight="1" x14ac:dyDescent="0.25">
      <c r="B11" s="89" t="s">
        <v>373</v>
      </c>
      <c r="C11" s="25" t="s">
        <v>374</v>
      </c>
      <c r="D11" s="90" t="s">
        <v>375</v>
      </c>
      <c r="E11" s="90" t="s">
        <v>376</v>
      </c>
      <c r="F11" s="90" t="s">
        <v>358</v>
      </c>
      <c r="G11" s="90" t="s">
        <v>359</v>
      </c>
      <c r="H11" s="90" t="s">
        <v>360</v>
      </c>
      <c r="I11" s="90" t="s">
        <v>367</v>
      </c>
      <c r="J11" s="90" t="s">
        <v>368</v>
      </c>
    </row>
    <row r="12" spans="2:10" ht="27.75" customHeight="1" x14ac:dyDescent="0.25">
      <c r="B12" s="91" t="s">
        <v>377</v>
      </c>
      <c r="C12" s="26" t="s">
        <v>378</v>
      </c>
      <c r="D12" s="92" t="s">
        <v>379</v>
      </c>
      <c r="E12" s="92" t="s">
        <v>380</v>
      </c>
      <c r="F12" s="92" t="s">
        <v>358</v>
      </c>
      <c r="G12" s="92" t="s">
        <v>359</v>
      </c>
      <c r="H12" s="92" t="s">
        <v>360</v>
      </c>
      <c r="I12" s="92" t="s">
        <v>367</v>
      </c>
      <c r="J12" s="92" t="s">
        <v>368</v>
      </c>
    </row>
    <row r="13" spans="2:10" ht="27.75" customHeight="1" x14ac:dyDescent="0.25">
      <c r="B13" s="93" t="s">
        <v>381</v>
      </c>
      <c r="C13" s="94" t="s">
        <v>382</v>
      </c>
      <c r="D13" s="95" t="s">
        <v>383</v>
      </c>
      <c r="E13" s="95" t="s">
        <v>384</v>
      </c>
      <c r="F13" s="95" t="s">
        <v>358</v>
      </c>
      <c r="G13" s="95" t="s">
        <v>384</v>
      </c>
      <c r="H13" s="95" t="s">
        <v>384</v>
      </c>
      <c r="I13" s="95" t="s">
        <v>385</v>
      </c>
      <c r="J13" s="95" t="s">
        <v>386</v>
      </c>
    </row>
    <row r="16" spans="2:10" ht="21.75" customHeight="1" x14ac:dyDescent="0.25">
      <c r="B16" s="119" t="s">
        <v>387</v>
      </c>
      <c r="C16" s="110"/>
      <c r="D16" s="110"/>
      <c r="E16" s="110"/>
      <c r="F16" s="110"/>
      <c r="G16" s="110"/>
      <c r="H16" s="110"/>
      <c r="I16" s="111"/>
    </row>
    <row r="17" spans="2:9" x14ac:dyDescent="0.25">
      <c r="B17" s="96" t="s">
        <v>388</v>
      </c>
      <c r="C17" s="96" t="s">
        <v>389</v>
      </c>
      <c r="D17" s="96" t="s">
        <v>390</v>
      </c>
      <c r="E17" s="96" t="s">
        <v>391</v>
      </c>
    </row>
    <row r="18" spans="2:9" ht="21.75" customHeight="1" x14ac:dyDescent="0.25">
      <c r="B18" s="43" t="s">
        <v>392</v>
      </c>
      <c r="C18" s="94" t="s">
        <v>393</v>
      </c>
      <c r="D18" s="94" t="s">
        <v>394</v>
      </c>
      <c r="E18" s="94" t="s">
        <v>395</v>
      </c>
    </row>
    <row r="19" spans="2:9" ht="21.75" customHeight="1" x14ac:dyDescent="0.25">
      <c r="B19" s="97" t="s">
        <v>396</v>
      </c>
      <c r="C19" s="98" t="s">
        <v>397</v>
      </c>
      <c r="D19" s="98" t="s">
        <v>394</v>
      </c>
      <c r="E19" s="98" t="s">
        <v>398</v>
      </c>
    </row>
    <row r="20" spans="2:9" ht="21.75" customHeight="1" x14ac:dyDescent="0.25">
      <c r="B20" s="43" t="s">
        <v>399</v>
      </c>
      <c r="C20" s="94" t="s">
        <v>400</v>
      </c>
      <c r="D20" s="94" t="s">
        <v>401</v>
      </c>
      <c r="E20" s="94" t="s">
        <v>402</v>
      </c>
    </row>
    <row r="21" spans="2:9" ht="21.75" customHeight="1" x14ac:dyDescent="0.25">
      <c r="B21" s="97" t="s">
        <v>403</v>
      </c>
      <c r="C21" s="98" t="s">
        <v>404</v>
      </c>
      <c r="D21" s="98" t="s">
        <v>394</v>
      </c>
      <c r="E21" s="98" t="s">
        <v>405</v>
      </c>
    </row>
    <row r="22" spans="2:9" ht="21.75" customHeight="1" x14ac:dyDescent="0.25">
      <c r="B22" s="43" t="s">
        <v>406</v>
      </c>
      <c r="C22" s="94" t="s">
        <v>407</v>
      </c>
      <c r="D22" s="94" t="s">
        <v>408</v>
      </c>
      <c r="E22" s="94" t="s">
        <v>409</v>
      </c>
    </row>
    <row r="23" spans="2:9" ht="21.75" customHeight="1" x14ac:dyDescent="0.25">
      <c r="B23" s="97" t="s">
        <v>410</v>
      </c>
      <c r="C23" s="98" t="s">
        <v>411</v>
      </c>
      <c r="D23" s="98" t="s">
        <v>412</v>
      </c>
      <c r="E23" s="98" t="s">
        <v>413</v>
      </c>
    </row>
    <row r="24" spans="2:9" ht="21.75" customHeight="1" x14ac:dyDescent="0.25">
      <c r="B24" s="43" t="s">
        <v>414</v>
      </c>
      <c r="C24" s="94" t="s">
        <v>411</v>
      </c>
      <c r="D24" s="94" t="s">
        <v>415</v>
      </c>
      <c r="E24" s="94" t="s">
        <v>416</v>
      </c>
    </row>
    <row r="25" spans="2:9" ht="15.75" customHeight="1" x14ac:dyDescent="0.25"/>
    <row r="26" spans="2:9" ht="15.75" customHeight="1" x14ac:dyDescent="0.25"/>
    <row r="27" spans="2:9" ht="21.75" customHeight="1" x14ac:dyDescent="0.25">
      <c r="B27" s="130" t="s">
        <v>417</v>
      </c>
      <c r="C27" s="110"/>
      <c r="D27" s="110"/>
      <c r="E27" s="110"/>
      <c r="F27" s="110"/>
      <c r="G27" s="110"/>
      <c r="H27" s="110"/>
      <c r="I27" s="111"/>
    </row>
    <row r="28" spans="2:9" ht="21.75" customHeight="1" x14ac:dyDescent="0.25">
      <c r="B28" s="44" t="s">
        <v>418</v>
      </c>
      <c r="C28" s="44" t="s">
        <v>419</v>
      </c>
      <c r="D28" s="22" t="s">
        <v>391</v>
      </c>
      <c r="E28" s="22" t="s">
        <v>420</v>
      </c>
      <c r="F28" s="44" t="s">
        <v>421</v>
      </c>
    </row>
    <row r="29" spans="2:9" ht="21.75" customHeight="1" x14ac:dyDescent="0.25">
      <c r="B29" s="99" t="s">
        <v>422</v>
      </c>
      <c r="C29" s="99" t="s">
        <v>423</v>
      </c>
      <c r="D29" s="23" t="s">
        <v>424</v>
      </c>
      <c r="E29" s="23" t="s">
        <v>425</v>
      </c>
      <c r="F29" s="86" t="s">
        <v>426</v>
      </c>
    </row>
    <row r="30" spans="2:9" ht="21.75" customHeight="1" x14ac:dyDescent="0.25">
      <c r="B30" s="100" t="s">
        <v>427</v>
      </c>
      <c r="C30" s="100" t="s">
        <v>428</v>
      </c>
      <c r="D30" s="24" t="s">
        <v>429</v>
      </c>
      <c r="E30" s="24" t="s">
        <v>430</v>
      </c>
      <c r="F30" s="88" t="s">
        <v>431</v>
      </c>
    </row>
    <row r="31" spans="2:9" ht="21.75" customHeight="1" x14ac:dyDescent="0.25">
      <c r="B31" s="101" t="s">
        <v>432</v>
      </c>
      <c r="C31" s="101" t="s">
        <v>433</v>
      </c>
      <c r="D31" s="27" t="s">
        <v>434</v>
      </c>
      <c r="E31" s="27" t="s">
        <v>435</v>
      </c>
      <c r="F31" s="102" t="s">
        <v>436</v>
      </c>
    </row>
    <row r="32" spans="2:9" ht="21.75" customHeight="1" x14ac:dyDescent="0.25">
      <c r="B32" s="103" t="s">
        <v>437</v>
      </c>
      <c r="C32" s="103" t="s">
        <v>438</v>
      </c>
      <c r="D32" s="25" t="s">
        <v>439</v>
      </c>
      <c r="E32" s="25" t="s">
        <v>440</v>
      </c>
      <c r="F32" s="90" t="s">
        <v>441</v>
      </c>
    </row>
    <row r="33" spans="2:6" ht="21.75" customHeight="1" x14ac:dyDescent="0.25">
      <c r="B33" s="104" t="s">
        <v>442</v>
      </c>
      <c r="C33" s="104" t="s">
        <v>443</v>
      </c>
      <c r="D33" s="26" t="s">
        <v>444</v>
      </c>
      <c r="E33" s="26" t="s">
        <v>445</v>
      </c>
      <c r="F33" s="92" t="s">
        <v>446</v>
      </c>
    </row>
    <row r="34" spans="2:6" ht="15.75" customHeight="1" x14ac:dyDescent="0.25"/>
    <row r="35" spans="2:6" ht="15.75" customHeight="1" x14ac:dyDescent="0.25"/>
    <row r="36" spans="2:6" ht="15.75" customHeight="1" x14ac:dyDescent="0.25"/>
    <row r="37" spans="2:6" ht="15.75" customHeight="1" x14ac:dyDescent="0.25"/>
    <row r="38" spans="2:6" ht="15.75" customHeight="1" x14ac:dyDescent="0.25"/>
    <row r="39" spans="2:6" ht="15.75" customHeight="1" x14ac:dyDescent="0.25"/>
    <row r="40" spans="2:6" ht="15.75" customHeight="1" x14ac:dyDescent="0.25"/>
    <row r="41" spans="2:6" ht="15.75" customHeight="1" x14ac:dyDescent="0.25"/>
    <row r="42" spans="2:6" ht="15.75" customHeight="1" x14ac:dyDescent="0.25"/>
    <row r="43" spans="2:6" ht="15.75" customHeight="1" x14ac:dyDescent="0.25"/>
    <row r="44" spans="2:6" ht="15.75" customHeight="1" x14ac:dyDescent="0.25"/>
    <row r="45" spans="2:6" ht="15.75" customHeight="1" x14ac:dyDescent="0.25"/>
    <row r="46" spans="2:6" ht="15.75" customHeight="1" x14ac:dyDescent="0.25"/>
    <row r="47" spans="2:6" ht="15.75" customHeight="1" x14ac:dyDescent="0.25"/>
    <row r="48" spans="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B2:I2"/>
    <mergeCell ref="B4:I5"/>
    <mergeCell ref="B16:I16"/>
    <mergeCell ref="B27:I27"/>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N1000"/>
  <sheetViews>
    <sheetView showGridLines="0" workbookViewId="0"/>
  </sheetViews>
  <sheetFormatPr defaultColWidth="14.42578125" defaultRowHeight="15" customHeight="1" x14ac:dyDescent="0.25"/>
  <cols>
    <col min="1" max="1" width="3" customWidth="1"/>
    <col min="2" max="2" width="20.85546875" customWidth="1"/>
    <col min="3" max="3" width="22" customWidth="1"/>
    <col min="4" max="4" width="24" customWidth="1"/>
    <col min="5" max="5" width="31.140625" customWidth="1"/>
    <col min="6" max="8" width="16" customWidth="1"/>
    <col min="9" max="9" width="20" customWidth="1"/>
    <col min="10" max="10" width="18" customWidth="1"/>
    <col min="11" max="11" width="16" customWidth="1"/>
    <col min="12" max="13" width="14" customWidth="1"/>
    <col min="14" max="14" width="28" customWidth="1"/>
    <col min="15" max="26" width="8.7109375" customWidth="1"/>
  </cols>
  <sheetData>
    <row r="2" spans="2:14" ht="25.5" customHeight="1" x14ac:dyDescent="0.25">
      <c r="B2" s="117" t="s">
        <v>447</v>
      </c>
      <c r="C2" s="110"/>
      <c r="D2" s="110"/>
      <c r="E2" s="110"/>
      <c r="F2" s="110"/>
      <c r="G2" s="110"/>
      <c r="H2" s="110"/>
      <c r="I2" s="110"/>
      <c r="J2" s="110"/>
      <c r="K2" s="110"/>
      <c r="L2" s="110"/>
      <c r="M2" s="110"/>
      <c r="N2" s="111"/>
    </row>
    <row r="4" spans="2:14" ht="60" customHeight="1" x14ac:dyDescent="0.25">
      <c r="B4" s="131" t="s">
        <v>448</v>
      </c>
      <c r="C4" s="115"/>
      <c r="D4" s="115"/>
      <c r="E4" s="115"/>
      <c r="F4" s="115"/>
      <c r="G4" s="115"/>
      <c r="H4" s="115"/>
      <c r="I4" s="115"/>
      <c r="J4" s="115"/>
      <c r="K4" s="115"/>
      <c r="L4" s="115"/>
      <c r="M4" s="115"/>
      <c r="N4" s="115"/>
    </row>
    <row r="5" spans="2:14" ht="15" customHeight="1" x14ac:dyDescent="0.25">
      <c r="B5" s="115"/>
      <c r="C5" s="115"/>
      <c r="D5" s="115"/>
      <c r="E5" s="115"/>
      <c r="F5" s="115"/>
      <c r="G5" s="115"/>
      <c r="H5" s="115"/>
      <c r="I5" s="115"/>
      <c r="J5" s="115"/>
      <c r="K5" s="115"/>
      <c r="L5" s="115"/>
      <c r="M5" s="115"/>
      <c r="N5" s="115"/>
    </row>
    <row r="7" spans="2:14" ht="49.5" customHeight="1" x14ac:dyDescent="0.25">
      <c r="B7" s="44" t="s">
        <v>449</v>
      </c>
      <c r="C7" s="44" t="s">
        <v>450</v>
      </c>
      <c r="D7" s="44" t="s">
        <v>451</v>
      </c>
      <c r="E7" s="44" t="s">
        <v>452</v>
      </c>
      <c r="F7" s="44" t="s">
        <v>453</v>
      </c>
      <c r="G7" s="44" t="s">
        <v>454</v>
      </c>
      <c r="H7" s="44" t="s">
        <v>455</v>
      </c>
      <c r="I7" s="44" t="s">
        <v>456</v>
      </c>
      <c r="J7" s="44" t="s">
        <v>457</v>
      </c>
      <c r="K7" s="44" t="s">
        <v>458</v>
      </c>
      <c r="L7" s="44" t="s">
        <v>459</v>
      </c>
      <c r="M7" s="44" t="s">
        <v>460</v>
      </c>
      <c r="N7" s="44" t="s">
        <v>461</v>
      </c>
    </row>
    <row r="8" spans="2:14" ht="21.75" customHeight="1" x14ac:dyDescent="0.25">
      <c r="B8" s="105"/>
      <c r="C8" s="105"/>
      <c r="D8" s="105"/>
      <c r="E8" s="105"/>
      <c r="F8" s="105"/>
      <c r="G8" s="105"/>
      <c r="H8" s="105"/>
      <c r="I8" s="105"/>
      <c r="J8" s="105"/>
      <c r="K8" s="105"/>
      <c r="L8" s="105"/>
      <c r="M8" s="105"/>
      <c r="N8" s="105"/>
    </row>
    <row r="9" spans="2:14" ht="21.75" customHeight="1" x14ac:dyDescent="0.25">
      <c r="B9" s="106"/>
      <c r="C9" s="106"/>
      <c r="D9" s="106"/>
      <c r="E9" s="106"/>
      <c r="F9" s="106"/>
      <c r="G9" s="106"/>
      <c r="H9" s="106"/>
      <c r="I9" s="106"/>
      <c r="J9" s="106"/>
      <c r="K9" s="106"/>
      <c r="L9" s="106"/>
      <c r="M9" s="106"/>
      <c r="N9" s="106"/>
    </row>
    <row r="10" spans="2:14" ht="21.75" customHeight="1" x14ac:dyDescent="0.25">
      <c r="B10" s="105"/>
      <c r="C10" s="105"/>
      <c r="D10" s="105"/>
      <c r="E10" s="105"/>
      <c r="F10" s="105"/>
      <c r="G10" s="105"/>
      <c r="H10" s="105"/>
      <c r="I10" s="105"/>
      <c r="J10" s="105"/>
      <c r="K10" s="105"/>
      <c r="L10" s="105"/>
      <c r="M10" s="105"/>
      <c r="N10" s="105"/>
    </row>
    <row r="11" spans="2:14" ht="21.75" customHeight="1" x14ac:dyDescent="0.25">
      <c r="B11" s="106"/>
      <c r="C11" s="106"/>
      <c r="D11" s="106"/>
      <c r="E11" s="106"/>
      <c r="F11" s="106"/>
      <c r="G11" s="106"/>
      <c r="H11" s="106"/>
      <c r="I11" s="106"/>
      <c r="J11" s="106"/>
      <c r="K11" s="106"/>
      <c r="L11" s="106"/>
      <c r="M11" s="106"/>
      <c r="N11" s="106"/>
    </row>
    <row r="12" spans="2:14" ht="21.75" customHeight="1" x14ac:dyDescent="0.25">
      <c r="B12" s="105"/>
      <c r="C12" s="105"/>
      <c r="D12" s="105"/>
      <c r="E12" s="105"/>
      <c r="F12" s="105"/>
      <c r="G12" s="105"/>
      <c r="H12" s="105"/>
      <c r="I12" s="105"/>
      <c r="J12" s="105"/>
      <c r="K12" s="105"/>
      <c r="L12" s="105"/>
      <c r="M12" s="105"/>
      <c r="N12" s="105"/>
    </row>
    <row r="13" spans="2:14" ht="21.75" customHeight="1" x14ac:dyDescent="0.25">
      <c r="B13" s="106"/>
      <c r="C13" s="106"/>
      <c r="D13" s="106"/>
      <c r="E13" s="106"/>
      <c r="F13" s="106"/>
      <c r="G13" s="106"/>
      <c r="H13" s="106"/>
      <c r="I13" s="106"/>
      <c r="J13" s="106"/>
      <c r="K13" s="106"/>
      <c r="L13" s="106"/>
      <c r="M13" s="106"/>
      <c r="N13" s="106"/>
    </row>
    <row r="14" spans="2:14" ht="21.75" customHeight="1" x14ac:dyDescent="0.25">
      <c r="B14" s="105"/>
      <c r="C14" s="105"/>
      <c r="D14" s="105"/>
      <c r="E14" s="105"/>
      <c r="F14" s="105"/>
      <c r="G14" s="105"/>
      <c r="H14" s="105"/>
      <c r="I14" s="105"/>
      <c r="J14" s="105"/>
      <c r="K14" s="105"/>
      <c r="L14" s="105"/>
      <c r="M14" s="105"/>
      <c r="N14" s="105"/>
    </row>
    <row r="15" spans="2:14" ht="21.75" customHeight="1" x14ac:dyDescent="0.25">
      <c r="B15" s="106"/>
      <c r="C15" s="106"/>
      <c r="D15" s="106"/>
      <c r="E15" s="106"/>
      <c r="F15" s="106"/>
      <c r="G15" s="106"/>
      <c r="H15" s="106"/>
      <c r="I15" s="106"/>
      <c r="J15" s="106"/>
      <c r="K15" s="106"/>
      <c r="L15" s="106"/>
      <c r="M15" s="106"/>
      <c r="N15" s="106"/>
    </row>
    <row r="16" spans="2:14" ht="21.75" customHeight="1" x14ac:dyDescent="0.25">
      <c r="B16" s="105"/>
      <c r="C16" s="105"/>
      <c r="D16" s="105"/>
      <c r="E16" s="105"/>
      <c r="F16" s="105"/>
      <c r="G16" s="105"/>
      <c r="H16" s="105"/>
      <c r="I16" s="105"/>
      <c r="J16" s="105"/>
      <c r="K16" s="105"/>
      <c r="L16" s="105"/>
      <c r="M16" s="105"/>
      <c r="N16" s="105"/>
    </row>
    <row r="17" spans="2:14" ht="21.75" customHeight="1" x14ac:dyDescent="0.25">
      <c r="B17" s="106"/>
      <c r="C17" s="106"/>
      <c r="D17" s="106"/>
      <c r="E17" s="106"/>
      <c r="F17" s="106"/>
      <c r="G17" s="106"/>
      <c r="H17" s="106"/>
      <c r="I17" s="106"/>
      <c r="J17" s="106"/>
      <c r="K17" s="106"/>
      <c r="L17" s="106"/>
      <c r="M17" s="106"/>
      <c r="N17" s="106"/>
    </row>
    <row r="18" spans="2:14" ht="21.75" customHeight="1" x14ac:dyDescent="0.25">
      <c r="B18" s="105"/>
      <c r="C18" s="105"/>
      <c r="D18" s="105"/>
      <c r="E18" s="105"/>
      <c r="F18" s="105"/>
      <c r="G18" s="105"/>
      <c r="H18" s="105"/>
      <c r="I18" s="105"/>
      <c r="J18" s="105"/>
      <c r="K18" s="105"/>
      <c r="L18" s="105"/>
      <c r="M18" s="105"/>
      <c r="N18" s="105"/>
    </row>
    <row r="19" spans="2:14" ht="21.75" customHeight="1" x14ac:dyDescent="0.25">
      <c r="B19" s="106"/>
      <c r="C19" s="106"/>
      <c r="D19" s="106"/>
      <c r="E19" s="106"/>
      <c r="F19" s="106"/>
      <c r="G19" s="106"/>
      <c r="H19" s="106"/>
      <c r="I19" s="106"/>
      <c r="J19" s="106"/>
      <c r="K19" s="106"/>
      <c r="L19" s="106"/>
      <c r="M19" s="106"/>
      <c r="N19" s="106"/>
    </row>
    <row r="20" spans="2:14" ht="21.75" customHeight="1" x14ac:dyDescent="0.25">
      <c r="B20" s="105"/>
      <c r="C20" s="105"/>
      <c r="D20" s="105"/>
      <c r="E20" s="105"/>
      <c r="F20" s="105"/>
      <c r="G20" s="105"/>
      <c r="H20" s="105"/>
      <c r="I20" s="105"/>
      <c r="J20" s="105"/>
      <c r="K20" s="105"/>
      <c r="L20" s="105"/>
      <c r="M20" s="105"/>
      <c r="N20" s="105"/>
    </row>
    <row r="21" spans="2:14" ht="21.75" customHeight="1" x14ac:dyDescent="0.25">
      <c r="B21" s="106"/>
      <c r="C21" s="106"/>
      <c r="D21" s="106"/>
      <c r="E21" s="106"/>
      <c r="F21" s="106"/>
      <c r="G21" s="106"/>
      <c r="H21" s="106"/>
      <c r="I21" s="106"/>
      <c r="J21" s="106"/>
      <c r="K21" s="106"/>
      <c r="L21" s="106"/>
      <c r="M21" s="106"/>
      <c r="N21" s="106"/>
    </row>
    <row r="22" spans="2:14" ht="21.75" customHeight="1" x14ac:dyDescent="0.25">
      <c r="B22" s="105"/>
      <c r="C22" s="105"/>
      <c r="D22" s="105"/>
      <c r="E22" s="105"/>
      <c r="F22" s="105"/>
      <c r="G22" s="105"/>
      <c r="H22" s="105"/>
      <c r="I22" s="105"/>
      <c r="J22" s="105"/>
      <c r="K22" s="105"/>
      <c r="L22" s="105"/>
      <c r="M22" s="105"/>
      <c r="N22" s="105"/>
    </row>
    <row r="23" spans="2:14" ht="21.75" customHeight="1" x14ac:dyDescent="0.25">
      <c r="B23" s="106"/>
      <c r="C23" s="106"/>
      <c r="D23" s="106"/>
      <c r="E23" s="106"/>
      <c r="F23" s="106"/>
      <c r="G23" s="106"/>
      <c r="H23" s="106"/>
      <c r="I23" s="106"/>
      <c r="J23" s="106"/>
      <c r="K23" s="106"/>
      <c r="L23" s="106"/>
      <c r="M23" s="106"/>
      <c r="N23" s="106"/>
    </row>
    <row r="24" spans="2:14" ht="21.75" customHeight="1" x14ac:dyDescent="0.25">
      <c r="B24" s="105"/>
      <c r="C24" s="105"/>
      <c r="D24" s="105"/>
      <c r="E24" s="105"/>
      <c r="F24" s="105"/>
      <c r="G24" s="105"/>
      <c r="H24" s="105"/>
      <c r="I24" s="105"/>
      <c r="J24" s="105"/>
      <c r="K24" s="105"/>
      <c r="L24" s="105"/>
      <c r="M24" s="105"/>
      <c r="N24" s="105"/>
    </row>
    <row r="25" spans="2:14" ht="21.75" customHeight="1" x14ac:dyDescent="0.25">
      <c r="B25" s="106"/>
      <c r="C25" s="106"/>
      <c r="D25" s="106"/>
      <c r="E25" s="106"/>
      <c r="F25" s="106"/>
      <c r="G25" s="106"/>
      <c r="H25" s="106"/>
      <c r="I25" s="106"/>
      <c r="J25" s="106"/>
      <c r="K25" s="106"/>
      <c r="L25" s="106"/>
      <c r="M25" s="106"/>
      <c r="N25" s="106"/>
    </row>
    <row r="26" spans="2:14" ht="21.75" customHeight="1" x14ac:dyDescent="0.25">
      <c r="B26" s="105"/>
      <c r="C26" s="105"/>
      <c r="D26" s="105"/>
      <c r="E26" s="105"/>
      <c r="F26" s="105"/>
      <c r="G26" s="105"/>
      <c r="H26" s="105"/>
      <c r="I26" s="105"/>
      <c r="J26" s="105"/>
      <c r="K26" s="105"/>
      <c r="L26" s="105"/>
      <c r="M26" s="105"/>
      <c r="N26" s="105"/>
    </row>
    <row r="27" spans="2:14" ht="21.75" customHeight="1" x14ac:dyDescent="0.25">
      <c r="B27" s="106"/>
      <c r="C27" s="106"/>
      <c r="D27" s="106"/>
      <c r="E27" s="106"/>
      <c r="F27" s="106"/>
      <c r="G27" s="106"/>
      <c r="H27" s="106"/>
      <c r="I27" s="106"/>
      <c r="J27" s="106"/>
      <c r="K27" s="106"/>
      <c r="L27" s="106"/>
      <c r="M27" s="106"/>
      <c r="N27" s="106"/>
    </row>
    <row r="28" spans="2:14" ht="21.75" customHeight="1" x14ac:dyDescent="0.25">
      <c r="B28" s="105"/>
      <c r="C28" s="105"/>
      <c r="D28" s="105"/>
      <c r="E28" s="105"/>
      <c r="F28" s="105"/>
      <c r="G28" s="105"/>
      <c r="H28" s="105"/>
      <c r="I28" s="105"/>
      <c r="J28" s="105"/>
      <c r="K28" s="105"/>
      <c r="L28" s="105"/>
      <c r="M28" s="105"/>
      <c r="N28" s="105"/>
    </row>
    <row r="29" spans="2:14" ht="21.75" customHeight="1" x14ac:dyDescent="0.25">
      <c r="B29" s="106"/>
      <c r="C29" s="106"/>
      <c r="D29" s="106"/>
      <c r="E29" s="106"/>
      <c r="F29" s="106"/>
      <c r="G29" s="106"/>
      <c r="H29" s="106"/>
      <c r="I29" s="106"/>
      <c r="J29" s="106"/>
      <c r="K29" s="106"/>
      <c r="L29" s="106"/>
      <c r="M29" s="106"/>
      <c r="N29" s="106"/>
    </row>
    <row r="30" spans="2:14" ht="21.75" customHeight="1" x14ac:dyDescent="0.25">
      <c r="B30" s="105"/>
      <c r="C30" s="105"/>
      <c r="D30" s="105"/>
      <c r="E30" s="105"/>
      <c r="F30" s="105"/>
      <c r="G30" s="105"/>
      <c r="H30" s="105"/>
      <c r="I30" s="105"/>
      <c r="J30" s="105"/>
      <c r="K30" s="105"/>
      <c r="L30" s="105"/>
      <c r="M30" s="105"/>
      <c r="N30" s="105"/>
    </row>
    <row r="31" spans="2:14" ht="21.75" customHeight="1" x14ac:dyDescent="0.25">
      <c r="B31" s="106"/>
      <c r="C31" s="106"/>
      <c r="D31" s="106"/>
      <c r="E31" s="106"/>
      <c r="F31" s="106"/>
      <c r="G31" s="106"/>
      <c r="H31" s="106"/>
      <c r="I31" s="106"/>
      <c r="J31" s="106"/>
      <c r="K31" s="106"/>
      <c r="L31" s="106"/>
      <c r="M31" s="106"/>
      <c r="N31" s="106"/>
    </row>
    <row r="32" spans="2:14" ht="21.75" customHeight="1" x14ac:dyDescent="0.25">
      <c r="B32" s="105"/>
      <c r="C32" s="105"/>
      <c r="D32" s="105"/>
      <c r="E32" s="105"/>
      <c r="F32" s="105"/>
      <c r="G32" s="105"/>
      <c r="H32" s="105"/>
      <c r="I32" s="105"/>
      <c r="J32" s="105"/>
      <c r="K32" s="105"/>
      <c r="L32" s="105"/>
      <c r="M32" s="105"/>
      <c r="N32" s="105"/>
    </row>
    <row r="33" spans="2:14" ht="21.75" customHeight="1" x14ac:dyDescent="0.25">
      <c r="B33" s="106"/>
      <c r="C33" s="106"/>
      <c r="D33" s="106"/>
      <c r="E33" s="106"/>
      <c r="F33" s="106"/>
      <c r="G33" s="106"/>
      <c r="H33" s="106"/>
      <c r="I33" s="106"/>
      <c r="J33" s="106"/>
      <c r="K33" s="106"/>
      <c r="L33" s="106"/>
      <c r="M33" s="106"/>
      <c r="N33" s="106"/>
    </row>
    <row r="34" spans="2:14" ht="21.75" customHeight="1" x14ac:dyDescent="0.25">
      <c r="B34" s="105"/>
      <c r="C34" s="105"/>
      <c r="D34" s="105"/>
      <c r="E34" s="105"/>
      <c r="F34" s="105"/>
      <c r="G34" s="105"/>
      <c r="H34" s="105"/>
      <c r="I34" s="105"/>
      <c r="J34" s="105"/>
      <c r="K34" s="105"/>
      <c r="L34" s="105"/>
      <c r="M34" s="105"/>
      <c r="N34" s="105"/>
    </row>
    <row r="35" spans="2:14" ht="15.75" customHeight="1" x14ac:dyDescent="0.25"/>
    <row r="36" spans="2:14" ht="15.75" customHeight="1" x14ac:dyDescent="0.25"/>
    <row r="37" spans="2:14" ht="15.75" customHeight="1" x14ac:dyDescent="0.25">
      <c r="B37" s="132" t="s">
        <v>462</v>
      </c>
      <c r="C37" s="110"/>
      <c r="D37" s="110"/>
      <c r="E37" s="110"/>
      <c r="F37" s="110"/>
      <c r="G37" s="110"/>
      <c r="H37" s="110"/>
      <c r="I37" s="110"/>
      <c r="J37" s="110"/>
      <c r="K37" s="110"/>
      <c r="L37" s="110"/>
      <c r="M37" s="110"/>
      <c r="N37" s="111"/>
    </row>
    <row r="38" spans="2:14" ht="15.75" customHeight="1" x14ac:dyDescent="0.25">
      <c r="B38" s="42" t="s">
        <v>345</v>
      </c>
      <c r="C38" s="42" t="s">
        <v>350</v>
      </c>
      <c r="D38" s="42" t="s">
        <v>351</v>
      </c>
      <c r="E38" s="42" t="s">
        <v>463</v>
      </c>
      <c r="F38" s="42" t="s">
        <v>464</v>
      </c>
      <c r="G38" s="42" t="s">
        <v>465</v>
      </c>
    </row>
    <row r="39" spans="2:14" ht="18" customHeight="1" x14ac:dyDescent="0.25">
      <c r="B39" s="107" t="s">
        <v>354</v>
      </c>
      <c r="C39" s="107" t="s">
        <v>359</v>
      </c>
      <c r="D39" s="107" t="s">
        <v>360</v>
      </c>
      <c r="E39" s="107" t="s">
        <v>466</v>
      </c>
      <c r="F39" s="107" t="s">
        <v>467</v>
      </c>
      <c r="G39" s="107" t="s">
        <v>468</v>
      </c>
    </row>
    <row r="40" spans="2:14" ht="18" customHeight="1" x14ac:dyDescent="0.25">
      <c r="B40" s="108" t="s">
        <v>363</v>
      </c>
      <c r="C40" s="108" t="s">
        <v>359</v>
      </c>
      <c r="D40" s="108" t="s">
        <v>360</v>
      </c>
      <c r="E40" s="108" t="s">
        <v>469</v>
      </c>
      <c r="F40" s="108" t="s">
        <v>467</v>
      </c>
      <c r="G40" s="108" t="s">
        <v>468</v>
      </c>
    </row>
    <row r="41" spans="2:14" ht="18" customHeight="1" x14ac:dyDescent="0.25">
      <c r="B41" s="107" t="s">
        <v>369</v>
      </c>
      <c r="C41" s="107" t="s">
        <v>359</v>
      </c>
      <c r="D41" s="107" t="s">
        <v>360</v>
      </c>
      <c r="E41" s="107" t="s">
        <v>470</v>
      </c>
      <c r="F41" s="107" t="s">
        <v>467</v>
      </c>
      <c r="G41" s="107" t="s">
        <v>468</v>
      </c>
    </row>
    <row r="42" spans="2:14" ht="18" customHeight="1" x14ac:dyDescent="0.25">
      <c r="B42" s="108" t="s">
        <v>373</v>
      </c>
      <c r="C42" s="108" t="s">
        <v>359</v>
      </c>
      <c r="D42" s="108" t="s">
        <v>360</v>
      </c>
      <c r="E42" s="108" t="s">
        <v>471</v>
      </c>
      <c r="F42" s="108" t="s">
        <v>467</v>
      </c>
      <c r="G42" s="108" t="s">
        <v>468</v>
      </c>
    </row>
    <row r="43" spans="2:14" ht="18" customHeight="1" x14ac:dyDescent="0.25">
      <c r="B43" s="107" t="s">
        <v>377</v>
      </c>
      <c r="C43" s="107" t="s">
        <v>359</v>
      </c>
      <c r="D43" s="107" t="s">
        <v>360</v>
      </c>
      <c r="E43" s="107" t="s">
        <v>472</v>
      </c>
      <c r="F43" s="107" t="s">
        <v>467</v>
      </c>
      <c r="G43" s="107" t="s">
        <v>468</v>
      </c>
    </row>
    <row r="44" spans="2:14" ht="15.75" customHeight="1" x14ac:dyDescent="0.25"/>
    <row r="45" spans="2:14" ht="15.75" customHeight="1" x14ac:dyDescent="0.25"/>
    <row r="46" spans="2:14" ht="15.75" customHeight="1" x14ac:dyDescent="0.25"/>
    <row r="47" spans="2:14" ht="15.75" customHeight="1" x14ac:dyDescent="0.25"/>
    <row r="48" spans="2: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B2:N2"/>
    <mergeCell ref="B4:N5"/>
    <mergeCell ref="B37:N37"/>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Universal Stage Weights</vt:lpstr>
      <vt:lpstr>Universal Core Risk Domain</vt:lpstr>
      <vt:lpstr>Universal Scoring Calculator</vt:lpstr>
      <vt:lpstr>Framework Directory</vt:lpstr>
      <vt:lpstr>Audit &amp; RIA Compliance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Berry</cp:lastModifiedBy>
  <dcterms:created xsi:type="dcterms:W3CDTF">2026-05-14T16:32:22Z</dcterms:created>
  <dcterms:modified xsi:type="dcterms:W3CDTF">2026-05-27T13:50:12Z</dcterms:modified>
</cp:coreProperties>
</file>