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tage Weights" sheetId="2" state="visible" r:id="rId4"/>
    <sheet name="Core Risk Domain" sheetId="3" state="visible" r:id="rId5"/>
    <sheet name="Scoring Calculator" sheetId="4" state="visible" r:id="rId6"/>
    <sheet name="Audit &amp; RIA Compliance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<sst xmlns="http://schemas.openxmlformats.org/spreadsheetml/2006/main" count="338" uniqueCount="310">
  <si>
    <t xml:space="preserve">TokenCap Advisors LLC  |  TCA Intelligence Framework</t>
  </si>
  <si>
    <t xml:space="preserve">Real Estate — Core Risk Domain Framework</t>
  </si>
  <si>
    <t xml:space="preserve">Version 1.0  |  Effective Date: 2026  |  CONFIDENTIAL — RIA RECORD</t>
  </si>
  <si>
    <t xml:space="preserve">Document Purpose</t>
  </si>
  <si>
    <t xml:space="preserve">This workbook constitutes the authoritative TCA Core Risk Domain Framework for U.S. Real Estate investments. It is a governed, version-controlled record produced in compliance with the Investment Advisers Act of 1940 and SEC Rule 204-2 (Books &amp; Records, 17 CFR § 275.204-2). All scored outputs produced from this framework must be retained for a minimum of five years in an immutable format.</t>
  </si>
  <si>
    <t xml:space="preserve">Framework Version:</t>
  </si>
  <si>
    <t xml:space="preserve">RE-RF-001-v1.0</t>
  </si>
  <si>
    <t xml:space="preserve">Asset Class:</t>
  </si>
  <si>
    <t xml:space="preserve">U.S. Real Estate (All Subtypes)</t>
  </si>
  <si>
    <t xml:space="preserve">Issuing Function:</t>
  </si>
  <si>
    <t xml:space="preserve">TCA Research &amp; Investment (R&amp;I) / Risk Function</t>
  </si>
  <si>
    <t xml:space="preserve">Methodology Basis:</t>
  </si>
  <si>
    <t xml:space="preserve">TCA Five-Domain Risk Framework  |  Stage-Sensitive Weighting</t>
  </si>
  <si>
    <t xml:space="preserve">Regulatory Alignment:</t>
  </si>
  <si>
    <t xml:space="preserve">Investment Advisers Act 1940  |  SEC Rule 204-2  |  RIA Recordkeeping</t>
  </si>
  <si>
    <t xml:space="preserve">Retention Requirement:</t>
  </si>
  <si>
    <t xml:space="preserve">Minimum 5 years — immutable storage required</t>
  </si>
  <si>
    <t xml:space="preserve">Review Cycle:</t>
  </si>
  <si>
    <t xml:space="preserve">Annual or upon material methodology change (CRO approval required)</t>
  </si>
  <si>
    <t xml:space="preserve">Approved by:</t>
  </si>
  <si>
    <t xml:space="preserve">[CRO Signature / Date]</t>
  </si>
  <si>
    <t xml:space="preserve">Five Risk Domains — Real Estate Mapping</t>
  </si>
  <si>
    <t xml:space="preserve">TCA Domain</t>
  </si>
  <si>
    <t xml:space="preserve">Real Estate Application</t>
  </si>
  <si>
    <t xml:space="preserve">Foundational / Asset Risk (FR)</t>
  </si>
  <si>
    <t xml:space="preserve">Location &amp; Market Fundamentals</t>
  </si>
  <si>
    <t xml:space="preserve">Technical &amp; Execution Risk (TE)</t>
  </si>
  <si>
    <t xml:space="preserve">Development &amp; Construction Risk</t>
  </si>
  <si>
    <t xml:space="preserve">Regulatory &amp; External Constraint (RE)</t>
  </si>
  <si>
    <t xml:space="preserve">Regulatory, Legal &amp; Environmental Risk</t>
  </si>
  <si>
    <t xml:space="preserve">Commercial &amp; Financial Risk (CF)</t>
  </si>
  <si>
    <t xml:space="preserve">Tenant, Cash Flow &amp; Income Risk</t>
  </si>
  <si>
    <t xml:space="preserve">Infrastructure, Integration &amp; Market (IM)</t>
  </si>
  <si>
    <t xml:space="preserve">Capital Markets &amp; Liquidity Risk</t>
  </si>
  <si>
    <t xml:space="preserve">⚠  RIA Notice: This framework and all outputs derived from it constitute research records subject to SEC Rule 204-2. Outputs must be traceable, reproducible, and retained. Scoring must be performed within the TCA Risk Engine once operational. Spreadsheet-based assessments are an interim measure only.</t>
  </si>
  <si>
    <t xml:space="preserve">TCA Real Estate — Stage-Sensitive Domain Weight Table</t>
  </si>
  <si>
    <t xml:space="preserve">Domain weights shift dynamically by project stage per TCA methodology. Weights must sum to 100% per stage. Stage assignment requires CRO or designated analyst approval.</t>
  </si>
  <si>
    <t xml:space="preserve">Risk Domain (TCA Mapping)</t>
  </si>
  <si>
    <t xml:space="preserve">Acquisition</t>
  </si>
  <si>
    <t xml:space="preserve">Development / Construction</t>
  </si>
  <si>
    <t xml:space="preserve">Stabilized / Operating</t>
  </si>
  <si>
    <t xml:space="preserve">Sum Check</t>
  </si>
  <si>
    <t xml:space="preserve">Location &amp; Market (FR)</t>
  </si>
  <si>
    <t xml:space="preserve">Development &amp; Construction (TE)</t>
  </si>
  <si>
    <t xml:space="preserve">Regulatory &amp; Legal (RE)</t>
  </si>
  <si>
    <t xml:space="preserve">Tenant &amp; Cash Flow (CF)</t>
  </si>
  <si>
    <t xml:space="preserve">Capital Markets &amp; Liquidity (IM)</t>
  </si>
  <si>
    <t xml:space="preserve">Sum Check (must = 100%)</t>
  </si>
  <si>
    <t xml:space="preserve">Weighting Rationale:  Acquisition → Location &amp; Market dominates because the asset's intrinsic demand fundamentals are the primary value driver at entry.  Development → Execution risk dominates because cost and schedule uncertainty are the most impactful variables.  Stabilized → Tenant &amp; Cash Flow dominates because income predictability and lease durability drive asset value at operating maturity.  Capital Markets &amp; Liquidity weight reflects exit and refinancing risk across all stages.</t>
  </si>
  <si>
    <t xml:space="preserve">TokenCap Advisors LLC  |  TCA Intelligence Framework  |  Real Estate — Core Risk Domain Data Collection Framework</t>
  </si>
  <si>
    <t xml:space="preserve">Framework Version: RE-RF-001-v1.0  |  Asset Class: U.S. Real Estate  |  Regulatory Basis: Investment Advisers Act 1940  |  SEC Rule 204-2  |  Methodology: TCA Five-Domain Risk Framework</t>
  </si>
  <si>
    <t xml:space="preserve">SCORING KEY:  Likelihood 0–3  ×  Impact 0–3  =  Inherent Risk (0–9)  |  Residual Risk = Inherent ÷ Control Effectiveness (1–3 scale, 1=Weak, 2=Adequate, 3=Strong)  |  TCA Risk Grade:  1.0–1.9 = TCA-A (Stable)  |  2.0–2.5 = TCA-B (Core)  |  2.6–3.2 = TCA-C (Opportunistic)  |  3.3–4.0 = TCA-D (High-Risk)  |  &gt;4.0 = TCA-S (Speculative)</t>
  </si>
  <si>
    <t xml:space="preserve">#</t>
  </si>
  <si>
    <t xml:space="preserve">Risk Domain
(TCA Mapping)</t>
  </si>
  <si>
    <t xml:space="preserve">Risk Element</t>
  </si>
  <si>
    <t xml:space="preserve">Description</t>
  </si>
  <si>
    <t xml:space="preserve">Information Required
(Data Collection Checklist)</t>
  </si>
  <si>
    <t xml:space="preserve">Risk Signature
(What Can Go Wrong)</t>
  </si>
  <si>
    <t xml:space="preserve">Primary Data Sources</t>
  </si>
  <si>
    <t xml:space="preserve">Source Type</t>
  </si>
  <si>
    <t xml:space="preserve">Likelihood
(0–3)</t>
  </si>
  <si>
    <t xml:space="preserve">Impact
(0–3)</t>
  </si>
  <si>
    <t xml:space="preserve">Inherent
Risk</t>
  </si>
  <si>
    <t xml:space="preserve">Control
Effectiveness
(1–3)</t>
  </si>
  <si>
    <t xml:space="preserve">Residual
Risk</t>
  </si>
  <si>
    <t xml:space="preserve">Analyst Notes / Evidence Reference</t>
  </si>
  <si>
    <t xml:space="preserve">RIA Recordkeeping Note
(SEC Rule 204-2)</t>
  </si>
  <si>
    <t xml:space="preserve">  Location &amp; Market
(Foundational / Asset Risk — FR)</t>
  </si>
  <si>
    <t xml:space="preserve">Demographic Trends &amp;
Population Growth</t>
  </si>
  <si>
    <t xml:space="preserve">Historical and projected population, household formation, age distribution, and net migration in the subject market area.</t>
  </si>
  <si>
    <t xml:space="preserve">Population size; household formation rate; net in/out migration (5-yr); age cohort distribution; income growth trajectory</t>
  </si>
  <si>
    <t xml:space="preserve">Market contraction, declining demand pool, or demographic obsolescence of asset type</t>
  </si>
  <si>
    <t xml:space="preserve">U.S. Census Bureau; Bureau of Economic Analysis; local planning department; CoStar Demographics</t>
  </si>
  <si>
    <t xml:space="preserve">Market / Demographic</t>
  </si>
  <si>
    <t xml:space="preserve">Identify whether market is growing, stable, or declining; compare to regional benchmarks; flag over-reliance on single cohort.</t>
  </si>
  <si>
    <t xml:space="preserve">Retain per SEC Rule 204-2 — minimum 5 years</t>
  </si>
  <si>
    <t xml:space="preserve">Employment Drivers &amp;
Economic Base</t>
  </si>
  <si>
    <t xml:space="preserve">Key industries, job growth rates, employer concentration, and economic diversification of the subject market.</t>
  </si>
  <si>
    <t xml:space="preserve">Major employers (top 5, % of workforce); industry mix; unemployment rate trend; new job announcements</t>
  </si>
  <si>
    <t xml:space="preserve">Over-reliance on a single sector (e.g., energy, tech, government); cyclical demand volatility</t>
  </si>
  <si>
    <t xml:space="preserve">Bureau of Labor Statistics (BLS); local economic development authority; chamber of commerce; CBRE/JLL metro reports</t>
  </si>
  <si>
    <t xml:space="preserve">Market / Economic</t>
  </si>
  <si>
    <t xml:space="preserve">Score higher risk if &gt;30% employment in a single sector; assess resilience through prior recession data.</t>
  </si>
  <si>
    <t xml:space="preserve">Supply–Demand Balance &amp;
Absorption</t>
  </si>
  <si>
    <t xml:space="preserve">Current construction pipeline, absorption rates, vacancy trends, and forecast supply/demand equilibrium.</t>
  </si>
  <si>
    <t xml:space="preserve">New deliveries (12-mo pipeline); net absorption rate; vacancy rate (historical 5-yr); concessions trend</t>
  </si>
  <si>
    <t xml:space="preserve">Oversupply suppresses rents and occupancy; extended lease-up periods; pricing power erosion</t>
  </si>
  <si>
    <t xml:space="preserve">CoStar; CBRE; JLL; Cushman &amp; Wakefield; local market reports; permit data (Census Building Permits Survey)</t>
  </si>
  <si>
    <t xml:space="preserve">Market</t>
  </si>
  <si>
    <t xml:space="preserve">Look for sustained absorption exceeding deliveries as positive signal; stress-test oversupply scenarios.</t>
  </si>
  <si>
    <t xml:space="preserve">Comparable Transactions
&amp; Valuation Benchmarks</t>
  </si>
  <si>
    <t xml:space="preserve">Recent arm's-length sales, cap rates, rent comparables, and price-per-unit/SF metrics for similar assets.</t>
  </si>
  <si>
    <t xml:space="preserve">Comparable sales (last 24 months, ≥3 transactions); in-place cap rate vs. market cap rate; rent comps; concessions</t>
  </si>
  <si>
    <t xml:space="preserve">Valuation uncertainty; acquisition mispricing; exit cap rate expansion risk</t>
  </si>
  <si>
    <t xml:space="preserve">Appraisal reports; transaction databases (CoStar, Real Capital Analytics); brokerage feedback; MSCI/IPD data</t>
  </si>
  <si>
    <t xml:space="preserve">Valuation</t>
  </si>
  <si>
    <t xml:space="preserve">Wide dispersion in cap rates or declining comps signals market dislocation; document comp selection rationale.</t>
  </si>
  <si>
    <t xml:space="preserve">Submarket Positioning &amp;
Infrastructure Access</t>
  </si>
  <si>
    <t xml:space="preserve">Subject property's physical location quality, transit access, proximity to employment nodes, and competitive positioning.</t>
  </si>
  <si>
    <t xml:space="preserve">Walkability/transit score; proximity to CBDs, employment hubs; highway/airport access; competitive set positioning</t>
  </si>
  <si>
    <t xml:space="preserve">Location obsolescence; inability to attract target tenant base; competitive disadvantage</t>
  </si>
  <si>
    <t xml:space="preserve">Walk Score; Google Maps transit analysis; local planning maps; brokerage submarket reports</t>
  </si>
  <si>
    <t xml:space="preserve">Market / Physical</t>
  </si>
  <si>
    <t xml:space="preserve">Assess long-term land use changes (rezoning pipeline) that could affect neighborhood quality or competition.</t>
  </si>
  <si>
    <t xml:space="preserve">  Development &amp; Construction
(Technical &amp; Execution Risk — TE)</t>
  </si>
  <si>
    <t xml:space="preserve">Cost Estimation Reliability
&amp; Budget Integrity</t>
  </si>
  <si>
    <t xml:space="preserve">Reliability of project cost estimates, contingency levels, and historical variance on comparable projects.</t>
  </si>
  <si>
    <t xml:space="preserve">Detailed cost breakdown (hard/soft); contingency % (benchmark: 10–20%); prior project actual vs. budget variance; GMP contract status</t>
  </si>
  <si>
    <t xml:space="preserve">Budget overruns erode returns; cost creep on soft costs (design, legal, carry)</t>
  </si>
  <si>
    <t xml:space="preserve">Cost consultants; contractor bids; quantity surveyors; RSMeans/Turner Construction Cost Index</t>
  </si>
  <si>
    <t xml:space="preserve">Technical / Financial</t>
  </si>
  <si>
    <t xml:space="preserve">Assess whether contingencies align with local construction volatility; score higher risk if estimates lack third-party validation.</t>
  </si>
  <si>
    <t xml:space="preserve">Schedule Reliability &amp;
Delivery Timeline</t>
  </si>
  <si>
    <t xml:space="preserve">Permitting timeline expectations, construction milestone credibility, and historical delivery track record.</t>
  </si>
  <si>
    <t xml:space="preserve">Construction schedule (by phase); permitting timeline; historical delivery delays on comparable projects; weather/labor risk factors</t>
  </si>
  <si>
    <t xml:space="preserve">Timeline slippage increases carry cost, delays revenue, and may trigger loan maturity events</t>
  </si>
  <si>
    <t xml:space="preserve">Project schedule; contractor track record; local permit office data; AIA contract documents</t>
  </si>
  <si>
    <t xml:space="preserve">Technical</t>
  </si>
  <si>
    <t xml:space="preserve">Flag repeated delays in entitlement or foundation phase; assess labor availability and seasonal weather risk.</t>
  </si>
  <si>
    <t xml:space="preserve">General Contractor
Capability &amp; Solvency</t>
  </si>
  <si>
    <t xml:space="preserve">GC's financial stability, relevant experience, safety record, and capacity to perform.</t>
  </si>
  <si>
    <t xml:space="preserve">GC financial statements (2-yr); D&amp;B creditworthiness; OSHA safety record; project references; bonding capacity; lien history</t>
  </si>
  <si>
    <t xml:space="preserve">GC default or abandonment causes project failure; weak contractors cause cost overruns and lien exposure</t>
  </si>
  <si>
    <t xml:space="preserve">Contractor financial statements; D&amp;B reports; OSHA.gov; surety/bonding records; legal lien searches</t>
  </si>
  <si>
    <t xml:space="preserve">Counterparty / Credit</t>
  </si>
  <si>
    <t xml:space="preserve">Require performance and payment bonds on projects &gt;$5M; verify bonding capacity relative to project size.</t>
  </si>
  <si>
    <t xml:space="preserve">Construction Cost Inflation
&amp; Materials Exposure</t>
  </si>
  <si>
    <t xml:space="preserve">Exposure to escalating labor and materials costs relative to contract protections.</t>
  </si>
  <si>
    <t xml:space="preserve">Fixed-price vs. cost-plus contract structure; material price trends (lumber, steel, concrete); local labor wage growth; escalation clauses</t>
  </si>
  <si>
    <t xml:space="preserve">Unexpected cost escalation erodes development yield on cost; margin compression</t>
  </si>
  <si>
    <t xml:space="preserve">RSMeans Cost Data; Turner Building Cost Index; Bureau of Labor Statistics PPI; AGC materials tracker</t>
  </si>
  <si>
    <t xml:space="preserve">Market / Technical</t>
  </si>
  <si>
    <t xml:space="preserve">Assess hedge or fixed-price contract protection; high inflation environments require higher contingency budgets.</t>
  </si>
  <si>
    <t xml:space="preserve">Change Order Risk &amp;
Scope Creep</t>
  </si>
  <si>
    <t xml:space="preserve">Clarity of construction contract scope and historical change order frequency for sponsor/GC team.</t>
  </si>
  <si>
    <t xml:space="preserve">Contract type (lump sum, GMP, cost-plus); scope documentation completeness; prior project change order rate (%)</t>
  </si>
  <si>
    <t xml:space="preserve">Scope ambiguity drives change orders that inflate cost and extend schedule</t>
  </si>
  <si>
    <t xml:space="preserve">GMP contract documents; project specifications; AIA A201 scope exhibits; prior project records</t>
  </si>
  <si>
    <t xml:space="preserve">Legal / Technical</t>
  </si>
  <si>
    <t xml:space="preserve">GMP contracts with clear scope definitions provide best protection; document any scope inclusions/exclusions.</t>
  </si>
  <si>
    <t xml:space="preserve">  Regulatory &amp; Legal
(Regulatory &amp; External Constraint Risk — RE)</t>
  </si>
  <si>
    <t xml:space="preserve">Zoning &amp; Entitlement
Status</t>
  </si>
  <si>
    <t xml:space="preserve">Current zoning classification, permitted uses, density/FAR limits, and any required variances or rezonings.</t>
  </si>
  <si>
    <t xml:space="preserve">Current zoning designation; allowed uses per code; FAR/density limits; variance or rezoning required (Y/N); planning commission history</t>
  </si>
  <si>
    <t xml:space="preserve">Time-consuming rezoning, community opposition, or use restrictions can kill or delay projects</t>
  </si>
  <si>
    <t xml:space="preserve">Local zoning ordinances; planning commission minutes; municipal GIS portals; legal due diligence counsel</t>
  </si>
  <si>
    <t xml:space="preserve">Legal / Regulatory</t>
  </si>
  <si>
    <t xml:space="preserve">As-of-right entitlement = lowest risk; discretionary approval required = elevated risk; document all conditions of approval.</t>
  </si>
  <si>
    <t xml:space="preserve">Permitting Complexity
&amp; Approval Risk</t>
  </si>
  <si>
    <t xml:space="preserve">Number and type of permits required, typical lead times, regulatory agency complexity, and approval probability.</t>
  </si>
  <si>
    <t xml:space="preserve">Permit checklist (environmental, building, occupancy, special use); lead time estimates; prior approval rate for similar projects; expeditor availability</t>
  </si>
  <si>
    <t xml:space="preserve">Entitlement delays increase carry cost and project uncertainty; federal permitting (wetlands, NEPA) substantially extends timelines</t>
  </si>
  <si>
    <t xml:space="preserve">Local building/permitting authority; environmental impact study; permit expeditor; Army Corps of Engineers (if applicable)</t>
  </si>
  <si>
    <t xml:space="preserve">Regulatory</t>
  </si>
  <si>
    <t xml:space="preserve">Federal lands or wetland jurisdictions require Army Corps review; document all required agencies and estimated timelines.</t>
  </si>
  <si>
    <t xml:space="preserve">Environmental &amp;
Physical Hazard Exposure</t>
  </si>
  <si>
    <t xml:space="preserve">Environmental contamination, flood risk, seismic exposure, and other physical hazard conditions affecting the site.</t>
  </si>
  <si>
    <t xml:space="preserve">Phase I/II ESA status; FEMA flood zone classification; EPA database (EnviroMapper); soil reports; wetlands delineation</t>
  </si>
  <si>
    <t xml:space="preserve">Remediation liability; flood insurance cost; project halts from regulatory findings; ESG investor scrutiny</t>
  </si>
  <si>
    <t xml:space="preserve">Phase I/II Environmental Site Assessments (ASTM E1527-21); FEMA Flood Map Service Center; EPA EnviroMapper; USGS seismic data</t>
  </si>
  <si>
    <t xml:space="preserve">Environmental / Physical</t>
  </si>
  <si>
    <t xml:space="preserve">Phase I ESA is minimum required; Phase II required if RECs identified; document all findings and remediation plans.</t>
  </si>
  <si>
    <t xml:space="preserve">Legal Disputes &amp;
Title Integrity</t>
  </si>
  <si>
    <t xml:space="preserve">Pending or threatened litigation, title defects, boundary disputes, easement issues, or construction defect claims.</t>
  </si>
  <si>
    <t xml:space="preserve">Title report (ALTA/NSPS); pending litigation search; mechanics lien status; easements/encumbrances; HOA restrictions</t>
  </si>
  <si>
    <t xml:space="preserve">Title defects halt financing; litigation delays or kills transaction; boundary disputes cloud ownership</t>
  </si>
  <si>
    <t xml:space="preserve">ALTA/NSPS Land Title Survey; title insurance commitment; litigation search (PACER, state court); counsel due diligence</t>
  </si>
  <si>
    <t xml:space="preserve">Legal</t>
  </si>
  <si>
    <t xml:space="preserve">Even frivolous lawsuits can delay financing or leasing; require title insurance and clear title commitment.</t>
  </si>
  <si>
    <t xml:space="preserve">Property Tax Volatility
&amp; Fiscal Risk</t>
  </si>
  <si>
    <t xml:space="preserve">Current property tax rates, assessment methodology, potential reassessment triggers, and available abatements.</t>
  </si>
  <si>
    <t xml:space="preserve">Current assessed value vs. market value; tax rate trends (5-yr); reassessment trigger events; PILOT or abatement availability; jurisdiction fiscal health</t>
  </si>
  <si>
    <t xml:space="preserve">Unexpected tax increases compress NOI; high-tax jurisdictions reduce exit cap rate competitiveness</t>
  </si>
  <si>
    <t xml:space="preserve">County tax assessor records; state tax commission; tax consultant; local government budget reports</t>
  </si>
  <si>
    <t xml:space="preserve">Tax / Regulatory</t>
  </si>
  <si>
    <t xml:space="preserve">Jurisdictions with high dependence on property tax revenue are prone to rate increases during downturns; model sensitivity.</t>
  </si>
  <si>
    <t xml:space="preserve">Rent Control &amp;
Housing Regulation</t>
  </si>
  <si>
    <t xml:space="preserve">Applicable rent stabilization, rent control, just-cause eviction, or other tenant protection regulations.</t>
  </si>
  <si>
    <t xml:space="preserve">Applicable state/local rent control laws; covered unit percentage; allowable annual increases; exemption status (new construction); eviction restrictions</t>
  </si>
  <si>
    <t xml:space="preserve">Rent control caps revenue growth; requires specific operating strategies; reduces asset liquidity with institutional buyers</t>
  </si>
  <si>
    <t xml:space="preserve">State statutes; local municipal code; legal counsel; NMHC rent control tracker; NLIHC database</t>
  </si>
  <si>
    <t xml:space="preserve">Applicable primarily to multifamily; assess exemption eligibility for new construction; document legal review.</t>
  </si>
  <si>
    <t xml:space="preserve">  Tenant &amp; Cash Flow
(Commercial &amp; Financial Risk — CF)</t>
  </si>
  <si>
    <t xml:space="preserve">Tenant Credit Quality
&amp; Default Risk</t>
  </si>
  <si>
    <t xml:space="preserve">Creditworthiness of existing or projected tenants including financial strength, rent payment history, and bankruptcy risk.</t>
  </si>
  <si>
    <t xml:space="preserve">Tenant financial statements (2-yr); credit rating (if available); rent payment history; bankruptcy filing search; guaranty structure</t>
  </si>
  <si>
    <t xml:space="preserve">Tenant default eliminates revenue; releasing takes time and cost; single-tenant exposure amplifies risk</t>
  </si>
  <si>
    <t xml:space="preserve">Tenant financial statements; D&amp;B/Equifax credit reports; PACER bankruptcy search; landlord references; S&amp;P/Moody's if rated</t>
  </si>
  <si>
    <t xml:space="preserve">Credit / Counterparty</t>
  </si>
  <si>
    <t xml:space="preserve">Single-tenant assets require deep credit analysis; government tenants = low default risk but may trade at lower rents.</t>
  </si>
  <si>
    <t xml:space="preserve">Lease Structure &amp;
Income Durability</t>
  </si>
  <si>
    <t xml:space="preserve">Lease term, WAULT, renewal options, rent escalations, expense pass-throughs, and termination clauses.</t>
  </si>
  <si>
    <t xml:space="preserve">Weighted Average Unexpired Lease Term (WAULT); lease abstracts; rent escalation mechanism (fixed % vs. CPI); NNN vs. gross; termination options</t>
  </si>
  <si>
    <t xml:space="preserve">Short WAULT, unfavorable escalations, or gross leases expose NOI to inflation and rollover risk</t>
  </si>
  <si>
    <t xml:space="preserve">Lease agreements; rent rolls; lease abstracts; attorney lease review</t>
  </si>
  <si>
    <t xml:space="preserve">Legal / Financial</t>
  </si>
  <si>
    <t xml:space="preserve">Long base term with fixed escalations preferred; below-market rents create mark-to-market opportunity at rollover.</t>
  </si>
  <si>
    <t xml:space="preserve">Vacancy &amp; Absorption
Risk</t>
  </si>
  <si>
    <t xml:space="preserve">Historical and projected vacancy, lease rollover schedule, tenant retention rates, and shadow vacancy exposure.</t>
  </si>
  <si>
    <t xml:space="preserve">Historical vacancy (5-yr); projected rollover schedule; lease expiry concentration; shadow vacancy (subleases); releasing cost estimates</t>
  </si>
  <si>
    <t xml:space="preserve">Large near-term rollover in weak market demands high leasing cost reserves; vacancy reduces NOI and valuation</t>
  </si>
  <si>
    <t xml:space="preserve">Market reports (CoStar, CBRE); property management records; brokerage surveys; tenant conversations</t>
  </si>
  <si>
    <t xml:space="preserve">Market / Operational</t>
  </si>
  <si>
    <t xml:space="preserve">Stress-test scenarios with elevated vacancy; assess cost to re-lease (TIs, commissions, free rent).</t>
  </si>
  <si>
    <t xml:space="preserve">Rent Growth &amp;
Stability</t>
  </si>
  <si>
    <t xml:space="preserve">Rent growth projections, achievable mark-to-market potential, and sensitivity to rent control or market softening.</t>
  </si>
  <si>
    <t xml:space="preserve">Current in-place rents vs. market rents; projected rent growth (market vs. sponsor); rent control applicability; concessions trend</t>
  </si>
  <si>
    <t xml:space="preserve">Overstated rent growth inflates underwriting returns; rent control caps upside</t>
  </si>
  <si>
    <t xml:space="preserve">Market studies; CoStar rental data; brokerage reports; appraisal income analysis; legal review of rent stabilization laws</t>
  </si>
  <si>
    <t xml:space="preserve">Market / Financial</t>
  </si>
  <si>
    <t xml:space="preserve">Document basis for rent growth assumptions; compare to 10-yr market CAGR; flag if sponsor projections exceed market benchmarks.</t>
  </si>
  <si>
    <t xml:space="preserve">Operating Expense
Recoverability &amp; NOI Integrity</t>
  </si>
  <si>
    <t xml:space="preserve">Expense structure, recovery mechanism under leases, and sensitivity of NOI to unrecovered expense increases.</t>
  </si>
  <si>
    <t xml:space="preserve">Gross vs. NNN expense structure; management fee; capital reserve adequacy; historical expense ratio; insurance and utility costs</t>
  </si>
  <si>
    <t xml:space="preserve">Gross leases expose landlord to full expense inflation; inadequate reserves create surprise capital requirements</t>
  </si>
  <si>
    <t xml:space="preserve">Lease agreements; historical operating statements (2-yr); property management reports; insurance quotes</t>
  </si>
  <si>
    <t xml:space="preserve">Financial / Operational</t>
  </si>
  <si>
    <t xml:space="preserve">Validate expense reimbursement clauses; ensure capital reserves are adequate for asset age and type.</t>
  </si>
  <si>
    <t xml:space="preserve">  Capital Markets &amp; Liquidity
(Infrastructure, Integration &amp; Market Risk — IM)</t>
  </si>
  <si>
    <t xml:space="preserve">Interest Rate Sensitivity
&amp; Debt Structure</t>
  </si>
  <si>
    <t xml:space="preserve">Exposure to interest rate movements through debt structure, fixed vs. floating rate mix, and hedging.</t>
  </si>
  <si>
    <t xml:space="preserve">Debt structure (fixed vs. floating); SOFR + spread; interest rate cap/swap in place; all-in rate; DSCR sensitivity to +100/200 bps</t>
  </si>
  <si>
    <t xml:space="preserve">Floating-rate debt in rising rate environment causes severe cash flow pressure; covenant breaches</t>
  </si>
  <si>
    <t xml:space="preserve">Loan documents; lender term sheets; Bloomberg/CME SOFR curve; swap/cap confirmation documents</t>
  </si>
  <si>
    <t xml:space="preserve">Financial / Capital Markets</t>
  </si>
  <si>
    <t xml:space="preserve">Run DSCR sensitivity to +100bps and +200bps rate shocks; verify interest rate cap coverage on floating debt.</t>
  </si>
  <si>
    <t xml:space="preserve">Refinancing Risk &amp;
Debt Maturity</t>
  </si>
  <si>
    <t xml:space="preserve">Upcoming loan maturity, current LTV and DSCR, estimated refinance terms, and lender relationship status.</t>
  </si>
  <si>
    <t xml:space="preserve">Loan maturity date; current LTV; DSCR (actual vs. covenant); estimated refinance terms; prepayment penalty; extension options</t>
  </si>
  <si>
    <t xml:space="preserve">Low DSCR or high LTV at maturity may force equity contribution, covenant breach, or distressed sale</t>
  </si>
  <si>
    <t xml:space="preserve">Loan documents; lender discussions; current appraisal; capital markets advisors; debt market reports</t>
  </si>
  <si>
    <t xml:space="preserve">Financial / Credit</t>
  </si>
  <si>
    <t xml:space="preserve">Flag loans maturing within 18 months with LTV &gt;65% or DSCR &lt;1.20x as elevated risk; assess extension options.</t>
  </si>
  <si>
    <t xml:space="preserve">Capital Stack Complexity
&amp; Loss Severity</t>
  </si>
  <si>
    <t xml:space="preserve">Structure of the capital stack, including senior debt, mezzanine, preferred equity, and waterfall provisions.</t>
  </si>
  <si>
    <t xml:space="preserve">Capital stack diagram; senior debt terms; mezz/pref equity terms; intercreditor agreements; waterfall structure; promote/carried interest</t>
  </si>
  <si>
    <t xml:space="preserve">Subordinate capital with aggressive return requirements can create misaligned incentives and loss amplification</t>
  </si>
  <si>
    <t xml:space="preserve">Capital agreements; intercreditor agreements; operating agreement waterfall; legal counsel review</t>
  </si>
  <si>
    <t xml:space="preserve">Financial / Legal</t>
  </si>
  <si>
    <t xml:space="preserve">Document full capital stack; model loss scenarios at various value impairments; identify cross-default provisions.</t>
  </si>
  <si>
    <t xml:space="preserve">Exit Liquidity &amp;
Investor Demand</t>
  </si>
  <si>
    <t xml:space="preserve">Depth of buyer pool, transaction volume trends, cap rate trajectory, and time-on-market for comparable assets.</t>
  </si>
  <si>
    <t xml:space="preserve">Transaction volume (trailing 12 months); buyer pool depth (# active bidders for comparable assets); cap rate trend; average time on market</t>
  </si>
  <si>
    <t xml:space="preserve">Thin secondary markets require deep discounts for exit; illiquid asset types trap capital</t>
  </si>
  <si>
    <t xml:space="preserve">Capital markets reports; CBRE/JLL investment sales data; Real Capital Analytics; broker feedback; MSCI transaction data</t>
  </si>
  <si>
    <t xml:space="preserve">Capital Markets</t>
  </si>
  <si>
    <t xml:space="preserve">Document market depth assessment; stress-test exit cap rate expansion of +25bps, +50bps, +100bps on valuation.</t>
  </si>
  <si>
    <t xml:space="preserve">Capital Availability &amp;
Lender Market Conditions</t>
  </si>
  <si>
    <t xml:space="preserve">Current availability of debt and equity capital for the asset type, and sensitivity to market credit cycles.</t>
  </si>
  <si>
    <t xml:space="preserve">LTV availability in current market; lending spread vs. risk-free rate; equity capital appetite from institutional buyers; debt yield requirements</t>
  </si>
  <si>
    <t xml:space="preserve">Credit tightening reduces refinancing options and forces distressed sales or equity infusions</t>
  </si>
  <si>
    <t xml:space="preserve">Lender surveys (CBRE, Cushman); Fed Senior Loan Officer Survey; CMBS spreads; mortgage REIT activity</t>
  </si>
  <si>
    <t xml:space="preserve">Assess whether current financing is replicable; model scenarios where debt markets tighten by 50–100bps in spread.</t>
  </si>
  <si>
    <t xml:space="preserve">TCA Real Estate — Project Scoring Calculator</t>
  </si>
  <si>
    <t xml:space="preserve">Project Name:</t>
  </si>
  <si>
    <t xml:space="preserve">Enter project metadata in yellow cells. Stage selection determines domain weights used in composite score calculation. All fields required per RIA recordkeeping policy.</t>
  </si>
  <si>
    <t xml:space="preserve">Assessment Date:</t>
  </si>
  <si>
    <t xml:space="preserve">Asset Stage:</t>
  </si>
  <si>
    <t xml:space="preserve">Analyst:</t>
  </si>
  <si>
    <t xml:space="preserve">Reviewer:</t>
  </si>
  <si>
    <t xml:space="preserve">Assessment ID:</t>
  </si>
  <si>
    <t xml:space="preserve">Domain Score Input — Enter Domain Score (1.0–5.0) and Stage</t>
  </si>
  <si>
    <t xml:space="preserve">Domain (TCA Mapping)</t>
  </si>
  <si>
    <t xml:space="preserve">Domain Code</t>
  </si>
  <si>
    <t xml:space="preserve">Acquisition
Weight</t>
  </si>
  <si>
    <t xml:space="preserve">Dev/Construction
Weight</t>
  </si>
  <si>
    <t xml:space="preserve">Stabilized
Weight</t>
  </si>
  <si>
    <t xml:space="preserve">Domain Score
(1.0–5.0)</t>
  </si>
  <si>
    <t xml:space="preserve">Wtd Score
(Acquisition)</t>
  </si>
  <si>
    <t xml:space="preserve">Wtd Score
(Development)</t>
  </si>
  <si>
    <t xml:space="preserve">Wtd Score
(Stabilized)</t>
  </si>
  <si>
    <t xml:space="preserve">Location &amp; Market</t>
  </si>
  <si>
    <t xml:space="preserve">FR</t>
  </si>
  <si>
    <t xml:space="preserve">Development &amp; Construction</t>
  </si>
  <si>
    <t xml:space="preserve">TE</t>
  </si>
  <si>
    <t xml:space="preserve">Regulatory &amp; Legal</t>
  </si>
  <si>
    <t xml:space="preserve">RE</t>
  </si>
  <si>
    <t xml:space="preserve">Tenant &amp; Cash Flow</t>
  </si>
  <si>
    <t xml:space="preserve">CF</t>
  </si>
  <si>
    <t xml:space="preserve">Capital Markets &amp; Liquidity</t>
  </si>
  <si>
    <t xml:space="preserve">IM</t>
  </si>
  <si>
    <t xml:space="preserve">Composite TCA Risk Score</t>
  </si>
  <si>
    <t xml:space="preserve">Acquisition Score</t>
  </si>
  <si>
    <t xml:space="preserve">TCA Grade:  1.0–1.9 = TCA-A (Stable)  |  2.0–2.5 = TCA-B (Core)  |  2.6–3.2 = TCA-C (Opportunistic)  |  3.3–4.0 = TCA-D (High-Risk)  |  &gt;4.0 = TCA-S (Speculative)</t>
  </si>
  <si>
    <t xml:space="preserve">Development Score</t>
  </si>
  <si>
    <t xml:space="preserve">Stabilized Score</t>
  </si>
  <si>
    <t xml:space="preserve">⚠  RIA RECORDKEEPING NOTICE (SEC Rule 204-2):  This scoring record, including analyst inputs, domain weights applied, composite score, and evidence references, constitutes a research record of TokenCap Advisors LLC. It must be retained for a minimum of five (5) years in an immutable, reproducible format. Analyst and Reviewer fields above must be completed. Once approved, scores must not be altered without documented CRO authorization.</t>
  </si>
  <si>
    <t xml:space="preserve">TCA Real Estate Risk Framework  |  Audit &amp; RIA Compliance Log</t>
  </si>
  <si>
    <t xml:space="preserve">This log records all assessment activities performed using this framework. It constitutes a Books &amp; Records artifact under SEC Rule 204-2 (17 CFR § 275.204-2). Entries must be made contemporaneously. Records must be retained for a minimum of five (5) years in an immutable, reproducible format accessible to regulators upon request. Alteration of completed entries is prohibited.</t>
  </si>
  <si>
    <t xml:space="preserve">Log
#</t>
  </si>
  <si>
    <t xml:space="preserve">Assessment ID
(unique)</t>
  </si>
  <si>
    <t xml:space="preserve">Project Name</t>
  </si>
  <si>
    <t xml:space="preserve">Assessment
Date</t>
  </si>
  <si>
    <t xml:space="preserve">Analyst
(Name/ID)</t>
  </si>
  <si>
    <t xml:space="preserve">Reviewer
(Name/ID)</t>
  </si>
  <si>
    <t xml:space="preserve">Approval
Date</t>
  </si>
  <si>
    <t xml:space="preserve">Asset Stage
Applied</t>
  </si>
  <si>
    <t xml:space="preserve">Composite
Score</t>
  </si>
  <si>
    <t xml:space="preserve">TCA Grade</t>
  </si>
  <si>
    <t xml:space="preserve">Evidence Reference &amp;
Record Location</t>
  </si>
  <si>
    <t xml:space="preserve">Methodology Version Control Log</t>
  </si>
  <si>
    <t xml:space="preserve">Version</t>
  </si>
  <si>
    <t xml:space="preserve">Effective Date</t>
  </si>
  <si>
    <t xml:space="preserve">Change Description</t>
  </si>
  <si>
    <t xml:space="preserve">Approved By</t>
  </si>
  <si>
    <t xml:space="preserve">CRO Signature Date</t>
  </si>
  <si>
    <t xml:space="preserve">2026</t>
  </si>
  <si>
    <t xml:space="preserve">Initial release — TCA Intelligence Framework</t>
  </si>
  <si>
    <t xml:space="preserve">CRO</t>
  </si>
  <si>
    <t xml:space="preserve">[Date]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</si>
</sst>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1F2D5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1F2D5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2D54"/>
      <name val="Arial"/>
      <family val="0"/>
      <charset val="1"/>
    </font>
    <font>
      <sz val="8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C9A84C"/>
      <name val="Arial"/>
      <family val="0"/>
      <charset val="1"/>
    </font>
    <font>
      <sz val="7.5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7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F2D54"/>
      <name val="Arial"/>
      <family val="0"/>
      <charset val="1"/>
    </font>
    <font>
      <i val="true"/>
      <sz val="8"/>
      <color rgb="FFC00000"/>
      <name val="Arial"/>
      <family val="0"/>
      <charset val="1"/>
    </font>
    <font>
      <sz val="8"/>
      <color rgb="FF0000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D54"/>
        <bgColor rgb="FF404040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1F4E79"/>
        <bgColor rgb="FF1F2D54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FFACD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CE4D6"/>
      </patternFill>
    </fill>
    <fill>
      <patternFill patternType="solid">
        <fgColor rgb="FF404040"/>
        <bgColor rgb="FF1F2D54"/>
      </patternFill>
    </fill>
    <fill>
      <patternFill patternType="solid">
        <fgColor rgb="FFFFFACD"/>
        <bgColor rgb="FFFFF2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ACD"/>
      <rgbColor rgb="FFDCE6F1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2D54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5"/>
    <col collapsed="false" customWidth="true" hidden="false" outlineLevel="0" max="3" min="3" style="0" width="25"/>
  </cols>
  <sheetData>
    <row r="1" customFormat="false" ht="15" hidden="false" customHeight="false" outlineLevel="0" collapsed="false">
      <c r="A1" s="1"/>
      <c r="B1" s="1"/>
      <c r="C1" s="1"/>
    </row>
    <row r="2" customFormat="false" ht="15" hidden="false" customHeight="false" outlineLevel="0" collapsed="false">
      <c r="A2" s="1"/>
      <c r="B2" s="1"/>
      <c r="C2" s="1"/>
    </row>
    <row r="3" customFormat="false" ht="27.75" hidden="false" customHeight="true" outlineLevel="0" collapsed="false">
      <c r="A3" s="1"/>
      <c r="B3" s="2" t="s">
        <v>0</v>
      </c>
      <c r="C3" s="1"/>
    </row>
    <row r="4" customFormat="false" ht="16.15" hidden="false" customHeight="false" outlineLevel="0" collapsed="false">
      <c r="A4" s="1"/>
      <c r="B4" s="3" t="s">
        <v>1</v>
      </c>
      <c r="C4" s="1"/>
    </row>
    <row r="5" customFormat="false" ht="15" hidden="false" customHeight="false" outlineLevel="0" collapsed="false">
      <c r="A5" s="1"/>
      <c r="B5" s="4" t="s">
        <v>2</v>
      </c>
      <c r="C5" s="1"/>
    </row>
    <row r="6" customFormat="false" ht="15" hidden="false" customHeight="false" outlineLevel="0" collapsed="false">
      <c r="A6" s="1"/>
      <c r="B6" s="1"/>
      <c r="C6" s="1"/>
    </row>
    <row r="8" customFormat="false" ht="15" hidden="false" customHeight="false" outlineLevel="0" collapsed="false">
      <c r="B8" s="5" t="s">
        <v>3</v>
      </c>
    </row>
    <row r="9" customFormat="false" ht="64.15" hidden="false" customHeight="false" outlineLevel="0" collapsed="false">
      <c r="B9" s="6" t="s">
        <v>4</v>
      </c>
    </row>
    <row r="12" customFormat="false" ht="18" hidden="false" customHeight="true" outlineLevel="0" collapsed="false">
      <c r="B12" s="7" t="s">
        <v>5</v>
      </c>
      <c r="C12" s="6" t="s">
        <v>6</v>
      </c>
    </row>
    <row r="13" customFormat="false" ht="18" hidden="false" customHeight="true" outlineLevel="0" collapsed="false">
      <c r="B13" s="7" t="s">
        <v>7</v>
      </c>
      <c r="C13" s="6" t="s">
        <v>8</v>
      </c>
    </row>
    <row r="14" customFormat="false" ht="18" hidden="false" customHeight="true" outlineLevel="0" collapsed="false">
      <c r="B14" s="7" t="s">
        <v>9</v>
      </c>
      <c r="C14" s="6" t="s">
        <v>10</v>
      </c>
    </row>
    <row r="15" customFormat="false" ht="18" hidden="false" customHeight="true" outlineLevel="0" collapsed="false">
      <c r="B15" s="7" t="s">
        <v>11</v>
      </c>
      <c r="C15" s="6" t="s">
        <v>12</v>
      </c>
    </row>
    <row r="16" customFormat="false" ht="18" hidden="false" customHeight="true" outlineLevel="0" collapsed="false">
      <c r="B16" s="7" t="s">
        <v>13</v>
      </c>
      <c r="C16" s="6" t="s">
        <v>14</v>
      </c>
    </row>
    <row r="17" customFormat="false" ht="18" hidden="false" customHeight="true" outlineLevel="0" collapsed="false">
      <c r="B17" s="7" t="s">
        <v>15</v>
      </c>
      <c r="C17" s="6" t="s">
        <v>16</v>
      </c>
    </row>
    <row r="18" customFormat="false" ht="18" hidden="false" customHeight="true" outlineLevel="0" collapsed="false">
      <c r="B18" s="7" t="s">
        <v>17</v>
      </c>
      <c r="C18" s="6" t="s">
        <v>18</v>
      </c>
    </row>
    <row r="19" customFormat="false" ht="18" hidden="false" customHeight="true" outlineLevel="0" collapsed="false">
      <c r="B19" s="7" t="s">
        <v>19</v>
      </c>
      <c r="C19" s="6" t="s">
        <v>20</v>
      </c>
    </row>
    <row r="22" customFormat="false" ht="15" hidden="false" customHeight="false" outlineLevel="0" collapsed="false">
      <c r="B22" s="5" t="s">
        <v>21</v>
      </c>
    </row>
    <row r="23" customFormat="false" ht="18" hidden="false" customHeight="true" outlineLevel="0" collapsed="false">
      <c r="B23" s="8" t="s">
        <v>22</v>
      </c>
      <c r="C23" s="8" t="s">
        <v>23</v>
      </c>
    </row>
    <row r="24" customFormat="false" ht="18" hidden="false" customHeight="true" outlineLevel="0" collapsed="false">
      <c r="B24" s="9" t="s">
        <v>24</v>
      </c>
      <c r="C24" s="10" t="s">
        <v>25</v>
      </c>
    </row>
    <row r="25" customFormat="false" ht="18" hidden="false" customHeight="true" outlineLevel="0" collapsed="false">
      <c r="B25" s="9" t="s">
        <v>26</v>
      </c>
      <c r="C25" s="10" t="s">
        <v>27</v>
      </c>
    </row>
    <row r="26" customFormat="false" ht="18" hidden="false" customHeight="true" outlineLevel="0" collapsed="false">
      <c r="B26" s="9" t="s">
        <v>28</v>
      </c>
      <c r="C26" s="10" t="s">
        <v>29</v>
      </c>
    </row>
    <row r="27" customFormat="false" ht="18" hidden="false" customHeight="true" outlineLevel="0" collapsed="false">
      <c r="B27" s="9" t="s">
        <v>30</v>
      </c>
      <c r="C27" s="10" t="s">
        <v>31</v>
      </c>
    </row>
    <row r="28" customFormat="false" ht="18" hidden="false" customHeight="true" outlineLevel="0" collapsed="false">
      <c r="B28" s="9" t="s">
        <v>32</v>
      </c>
      <c r="C28" s="10" t="s">
        <v>33</v>
      </c>
    </row>
    <row r="31" customFormat="false" ht="46.25" hidden="false" customHeight="false" outlineLevel="0" collapsed="false">
      <c r="B31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4"/>
    <col collapsed="false" customWidth="true" hidden="false" outlineLevel="0" max="8" min="8" style="0" width="12"/>
  </cols>
  <sheetData>
    <row r="2" customFormat="false" ht="24" hidden="false" customHeight="true" outlineLevel="0" collapsed="false">
      <c r="B2" s="12" t="s">
        <v>35</v>
      </c>
      <c r="C2" s="12"/>
      <c r="D2" s="12"/>
      <c r="E2" s="12"/>
      <c r="F2" s="12"/>
      <c r="G2" s="12"/>
      <c r="H2" s="12"/>
    </row>
    <row r="3" customFormat="false" ht="27.75" hidden="false" customHeight="true" outlineLevel="0" collapsed="false">
      <c r="B3" s="13" t="s">
        <v>36</v>
      </c>
      <c r="C3" s="13"/>
      <c r="D3" s="13"/>
      <c r="E3" s="13"/>
      <c r="F3" s="13"/>
      <c r="G3" s="13"/>
      <c r="H3" s="13"/>
    </row>
    <row r="5" customFormat="false" ht="36" hidden="false" customHeight="true" outlineLevel="0" collapsed="false">
      <c r="B5" s="14" t="s">
        <v>37</v>
      </c>
      <c r="C5" s="14" t="s">
        <v>38</v>
      </c>
      <c r="D5" s="14" t="s">
        <v>39</v>
      </c>
      <c r="E5" s="14" t="s">
        <v>40</v>
      </c>
      <c r="F5" s="14" t="s">
        <v>41</v>
      </c>
    </row>
    <row r="6" customFormat="false" ht="19.5" hidden="false" customHeight="true" outlineLevel="0" collapsed="false">
      <c r="B6" s="15" t="s">
        <v>42</v>
      </c>
      <c r="C6" s="16" t="n">
        <v>0.4</v>
      </c>
      <c r="D6" s="16" t="n">
        <v>0.2</v>
      </c>
      <c r="E6" s="16" t="n">
        <v>0.2</v>
      </c>
    </row>
    <row r="7" customFormat="false" ht="19.5" hidden="false" customHeight="true" outlineLevel="0" collapsed="false">
      <c r="B7" s="17" t="s">
        <v>43</v>
      </c>
      <c r="C7" s="18" t="n">
        <v>0.1</v>
      </c>
      <c r="D7" s="18" t="n">
        <v>0.4</v>
      </c>
      <c r="E7" s="18" t="n">
        <v>0.1</v>
      </c>
    </row>
    <row r="8" customFormat="false" ht="19.5" hidden="false" customHeight="true" outlineLevel="0" collapsed="false">
      <c r="B8" s="19" t="s">
        <v>44</v>
      </c>
      <c r="C8" s="20" t="n">
        <v>0.2</v>
      </c>
      <c r="D8" s="20" t="n">
        <v>0.2</v>
      </c>
      <c r="E8" s="20" t="n">
        <v>0.1</v>
      </c>
    </row>
    <row r="9" customFormat="false" ht="19.5" hidden="false" customHeight="true" outlineLevel="0" collapsed="false">
      <c r="B9" s="21" t="s">
        <v>45</v>
      </c>
      <c r="C9" s="22" t="n">
        <v>0.1</v>
      </c>
      <c r="D9" s="22" t="n">
        <v>0.05</v>
      </c>
      <c r="E9" s="22" t="n">
        <v>0.35</v>
      </c>
    </row>
    <row r="10" customFormat="false" ht="19.5" hidden="false" customHeight="true" outlineLevel="0" collapsed="false">
      <c r="B10" s="23" t="s">
        <v>46</v>
      </c>
      <c r="C10" s="24" t="n">
        <v>0.2</v>
      </c>
      <c r="D10" s="24" t="n">
        <v>0.15</v>
      </c>
      <c r="E10" s="24" t="n">
        <v>0.25</v>
      </c>
    </row>
    <row r="11" customFormat="false" ht="18" hidden="false" customHeight="true" outlineLevel="0" collapsed="false">
      <c r="B11" s="25" t="s">
        <v>47</v>
      </c>
      <c r="C11" s="26" t="n">
        <f aca="false">SUM(C6:C10)</f>
        <v>1</v>
      </c>
      <c r="D11" s="26" t="n">
        <f aca="false">SUM(D6:D10)</f>
        <v>1</v>
      </c>
      <c r="E11" s="26" t="n">
        <f aca="false">SUM(E6:E10)</f>
        <v>1</v>
      </c>
    </row>
    <row r="13" customFormat="false" ht="60" hidden="false" customHeight="true" outlineLevel="0" collapsed="false">
      <c r="B13" s="27" t="s">
        <v>48</v>
      </c>
      <c r="C13" s="27"/>
      <c r="D13" s="27"/>
      <c r="E13" s="27"/>
      <c r="F13" s="27"/>
      <c r="G13" s="27"/>
      <c r="H13" s="27"/>
    </row>
    <row r="14" customFormat="false" ht="15" hidden="false" customHeight="false" outlineLevel="0" collapsed="false">
      <c r="B14" s="27"/>
      <c r="C14" s="27"/>
      <c r="D14" s="27"/>
      <c r="E14" s="27"/>
      <c r="F14" s="27"/>
      <c r="G14" s="27"/>
      <c r="H14" s="27"/>
    </row>
    <row r="15" customFormat="false" ht="15" hidden="false" customHeight="false" outlineLevel="0" collapsed="false">
      <c r="B15" s="27"/>
      <c r="C15" s="27"/>
      <c r="D15" s="27"/>
      <c r="E15" s="27"/>
      <c r="F15" s="27"/>
      <c r="G15" s="27"/>
      <c r="H15" s="27"/>
    </row>
  </sheetData>
  <mergeCells count="3">
    <mergeCell ref="B2:H2"/>
    <mergeCell ref="B3:H3"/>
    <mergeCell ref="B13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6" min="5" style="0" width="36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11" min="9" style="0" width="10"/>
    <col collapsed="false" customWidth="true" hidden="false" outlineLevel="0" max="13" min="12" style="0" width="12"/>
    <col collapsed="false" customWidth="true" hidden="false" outlineLevel="0" max="14" min="14" style="0" width="24"/>
    <col collapsed="false" customWidth="true" hidden="false" outlineLevel="0" max="15" min="15" style="0" width="32"/>
  </cols>
  <sheetData>
    <row r="2" customFormat="false" ht="25.5" hidden="false" customHeight="true" outlineLevel="0" collapsed="false">
      <c r="B2" s="12" t="s">
        <v>49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customFormat="false" ht="15.75" hidden="false" customHeight="true" outlineLevel="0" collapsed="false">
      <c r="B3" s="28" t="s">
        <v>50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customFormat="false" ht="21.75" hidden="false" customHeight="true" outlineLevel="0" collapsed="false">
      <c r="B4" s="29" t="s">
        <v>51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6" customFormat="false" ht="49.5" hidden="false" customHeight="true" outlineLevel="0" collapsed="false">
      <c r="B6" s="30" t="s">
        <v>52</v>
      </c>
      <c r="C6" s="30" t="s">
        <v>53</v>
      </c>
      <c r="D6" s="30" t="s">
        <v>54</v>
      </c>
      <c r="E6" s="30" t="s">
        <v>55</v>
      </c>
      <c r="F6" s="30" t="s">
        <v>56</v>
      </c>
      <c r="G6" s="30" t="s">
        <v>57</v>
      </c>
      <c r="H6" s="30" t="s">
        <v>58</v>
      </c>
      <c r="I6" s="30" t="s">
        <v>59</v>
      </c>
      <c r="J6" s="30" t="s">
        <v>60</v>
      </c>
      <c r="K6" s="30" t="s">
        <v>61</v>
      </c>
      <c r="L6" s="30" t="s">
        <v>62</v>
      </c>
      <c r="M6" s="30" t="s">
        <v>63</v>
      </c>
      <c r="N6" s="30" t="s">
        <v>64</v>
      </c>
      <c r="O6" s="30" t="s">
        <v>65</v>
      </c>
      <c r="P6" s="30" t="s">
        <v>66</v>
      </c>
    </row>
    <row r="7" customFormat="false" ht="27.75" hidden="false" customHeight="true" outlineLevel="0" collapsed="false">
      <c r="B7" s="31" t="s">
        <v>67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customFormat="false" ht="60" hidden="false" customHeight="true" outlineLevel="0" collapsed="false">
      <c r="B8" s="32" t="n">
        <v>1</v>
      </c>
      <c r="C8" s="33"/>
      <c r="D8" s="33" t="s">
        <v>68</v>
      </c>
      <c r="E8" s="33" t="s">
        <v>69</v>
      </c>
      <c r="F8" s="33" t="s">
        <v>70</v>
      </c>
      <c r="G8" s="33" t="s">
        <v>71</v>
      </c>
      <c r="H8" s="33" t="s">
        <v>72</v>
      </c>
      <c r="I8" s="33" t="s">
        <v>73</v>
      </c>
      <c r="J8" s="34"/>
      <c r="K8" s="34"/>
      <c r="L8" s="35" t="str">
        <f aca="false">IF(AND(ISNUMBER(J8),ISNUMBER(K8)),J8*K8,"")</f>
        <v/>
      </c>
      <c r="M8" s="34"/>
      <c r="N8" s="35" t="str">
        <f aca="false">IF(AND(ISNUMBER(K8),ISNUMBER(L8),L8&lt;&gt;0),K8/L8,"")</f>
        <v/>
      </c>
      <c r="O8" s="33" t="s">
        <v>74</v>
      </c>
      <c r="P8" s="36" t="s">
        <v>75</v>
      </c>
    </row>
    <row r="9" customFormat="false" ht="60" hidden="false" customHeight="true" outlineLevel="0" collapsed="false">
      <c r="B9" s="32" t="n">
        <v>2</v>
      </c>
      <c r="C9" s="33"/>
      <c r="D9" s="33" t="s">
        <v>76</v>
      </c>
      <c r="E9" s="33" t="s">
        <v>77</v>
      </c>
      <c r="F9" s="33" t="s">
        <v>78</v>
      </c>
      <c r="G9" s="33" t="s">
        <v>79</v>
      </c>
      <c r="H9" s="33" t="s">
        <v>80</v>
      </c>
      <c r="I9" s="33" t="s">
        <v>81</v>
      </c>
      <c r="J9" s="34"/>
      <c r="K9" s="34"/>
      <c r="L9" s="35" t="str">
        <f aca="false">IF(AND(ISNUMBER(J9),ISNUMBER(K9)),J9*K9,"")</f>
        <v/>
      </c>
      <c r="M9" s="34"/>
      <c r="N9" s="35" t="str">
        <f aca="false">IF(AND(ISNUMBER(K9),ISNUMBER(L9),L9&lt;&gt;0),K9/L9,"")</f>
        <v/>
      </c>
      <c r="O9" s="33" t="s">
        <v>82</v>
      </c>
      <c r="P9" s="36" t="s">
        <v>75</v>
      </c>
    </row>
    <row r="10" customFormat="false" ht="60" hidden="false" customHeight="true" outlineLevel="0" collapsed="false">
      <c r="B10" s="32" t="n">
        <v>3</v>
      </c>
      <c r="C10" s="33"/>
      <c r="D10" s="33" t="s">
        <v>83</v>
      </c>
      <c r="E10" s="33" t="s">
        <v>84</v>
      </c>
      <c r="F10" s="33" t="s">
        <v>85</v>
      </c>
      <c r="G10" s="33" t="s">
        <v>86</v>
      </c>
      <c r="H10" s="33" t="s">
        <v>87</v>
      </c>
      <c r="I10" s="33" t="s">
        <v>88</v>
      </c>
      <c r="J10" s="34"/>
      <c r="K10" s="34"/>
      <c r="L10" s="35" t="str">
        <f aca="false">IF(AND(ISNUMBER(J10),ISNUMBER(K10)),J10*K10,"")</f>
        <v/>
      </c>
      <c r="M10" s="34"/>
      <c r="N10" s="35" t="str">
        <f aca="false">IF(AND(ISNUMBER(K10),ISNUMBER(L10),L10&lt;&gt;0),K10/L10,"")</f>
        <v/>
      </c>
      <c r="O10" s="33" t="s">
        <v>89</v>
      </c>
      <c r="P10" s="36" t="s">
        <v>75</v>
      </c>
    </row>
    <row r="11" customFormat="false" ht="60" hidden="false" customHeight="true" outlineLevel="0" collapsed="false">
      <c r="B11" s="32" t="n">
        <v>4</v>
      </c>
      <c r="C11" s="33"/>
      <c r="D11" s="33" t="s">
        <v>90</v>
      </c>
      <c r="E11" s="33" t="s">
        <v>91</v>
      </c>
      <c r="F11" s="33" t="s">
        <v>92</v>
      </c>
      <c r="G11" s="33" t="s">
        <v>93</v>
      </c>
      <c r="H11" s="33" t="s">
        <v>94</v>
      </c>
      <c r="I11" s="33" t="s">
        <v>95</v>
      </c>
      <c r="J11" s="34"/>
      <c r="K11" s="34"/>
      <c r="L11" s="35" t="str">
        <f aca="false">IF(AND(ISNUMBER(J11),ISNUMBER(K11)),J11*K11,"")</f>
        <v/>
      </c>
      <c r="M11" s="34"/>
      <c r="N11" s="35" t="str">
        <f aca="false">IF(AND(ISNUMBER(K11),ISNUMBER(L11),L11&lt;&gt;0),K11/L11,"")</f>
        <v/>
      </c>
      <c r="O11" s="33" t="s">
        <v>96</v>
      </c>
      <c r="P11" s="36" t="s">
        <v>75</v>
      </c>
    </row>
    <row r="12" customFormat="false" ht="60" hidden="false" customHeight="true" outlineLevel="0" collapsed="false">
      <c r="B12" s="32" t="n">
        <v>5</v>
      </c>
      <c r="C12" s="33"/>
      <c r="D12" s="33" t="s">
        <v>97</v>
      </c>
      <c r="E12" s="33" t="s">
        <v>98</v>
      </c>
      <c r="F12" s="33" t="s">
        <v>99</v>
      </c>
      <c r="G12" s="33" t="s">
        <v>100</v>
      </c>
      <c r="H12" s="33" t="s">
        <v>101</v>
      </c>
      <c r="I12" s="33" t="s">
        <v>102</v>
      </c>
      <c r="J12" s="34"/>
      <c r="K12" s="34"/>
      <c r="L12" s="35" t="str">
        <f aca="false">IF(AND(ISNUMBER(J12),ISNUMBER(K12)),J12*K12,"")</f>
        <v/>
      </c>
      <c r="M12" s="34"/>
      <c r="N12" s="35" t="str">
        <f aca="false">IF(AND(ISNUMBER(K12),ISNUMBER(L12),L12&lt;&gt;0),K12/L12,"")</f>
        <v/>
      </c>
      <c r="O12" s="33" t="s">
        <v>103</v>
      </c>
      <c r="P12" s="36" t="s">
        <v>75</v>
      </c>
    </row>
    <row r="13" customFormat="false" ht="27.75" hidden="false" customHeight="true" outlineLevel="0" collapsed="false">
      <c r="B13" s="31" t="s">
        <v>104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customFormat="false" ht="60" hidden="false" customHeight="true" outlineLevel="0" collapsed="false">
      <c r="B14" s="32" t="n">
        <v>6</v>
      </c>
      <c r="C14" s="37"/>
      <c r="D14" s="37" t="s">
        <v>105</v>
      </c>
      <c r="E14" s="37" t="s">
        <v>106</v>
      </c>
      <c r="F14" s="37" t="s">
        <v>107</v>
      </c>
      <c r="G14" s="37" t="s">
        <v>108</v>
      </c>
      <c r="H14" s="37" t="s">
        <v>109</v>
      </c>
      <c r="I14" s="37" t="s">
        <v>110</v>
      </c>
      <c r="J14" s="34"/>
      <c r="K14" s="34"/>
      <c r="L14" s="38" t="str">
        <f aca="false">IF(AND(ISNUMBER(J14),ISNUMBER(K14)),J14*K14,"")</f>
        <v/>
      </c>
      <c r="M14" s="34"/>
      <c r="N14" s="38" t="str">
        <f aca="false">IF(AND(ISNUMBER(K14),ISNUMBER(L14),L14&lt;&gt;0),K14/L14,"")</f>
        <v/>
      </c>
      <c r="O14" s="37" t="s">
        <v>111</v>
      </c>
      <c r="P14" s="36" t="s">
        <v>75</v>
      </c>
    </row>
    <row r="15" customFormat="false" ht="60" hidden="false" customHeight="true" outlineLevel="0" collapsed="false">
      <c r="B15" s="32" t="n">
        <v>7</v>
      </c>
      <c r="C15" s="37"/>
      <c r="D15" s="37" t="s">
        <v>112</v>
      </c>
      <c r="E15" s="37" t="s">
        <v>113</v>
      </c>
      <c r="F15" s="37" t="s">
        <v>114</v>
      </c>
      <c r="G15" s="37" t="s">
        <v>115</v>
      </c>
      <c r="H15" s="37" t="s">
        <v>116</v>
      </c>
      <c r="I15" s="37" t="s">
        <v>117</v>
      </c>
      <c r="J15" s="34"/>
      <c r="K15" s="34"/>
      <c r="L15" s="38" t="str">
        <f aca="false">IF(AND(ISNUMBER(J15),ISNUMBER(K15)),J15*K15,"")</f>
        <v/>
      </c>
      <c r="M15" s="34"/>
      <c r="N15" s="38" t="str">
        <f aca="false">IF(AND(ISNUMBER(K15),ISNUMBER(L15),L15&lt;&gt;0),K15/L15,"")</f>
        <v/>
      </c>
      <c r="O15" s="37" t="s">
        <v>118</v>
      </c>
      <c r="P15" s="36" t="s">
        <v>75</v>
      </c>
    </row>
    <row r="16" customFormat="false" ht="60" hidden="false" customHeight="true" outlineLevel="0" collapsed="false">
      <c r="B16" s="32" t="n">
        <v>8</v>
      </c>
      <c r="C16" s="37"/>
      <c r="D16" s="37" t="s">
        <v>119</v>
      </c>
      <c r="E16" s="37" t="s">
        <v>120</v>
      </c>
      <c r="F16" s="37" t="s">
        <v>121</v>
      </c>
      <c r="G16" s="37" t="s">
        <v>122</v>
      </c>
      <c r="H16" s="37" t="s">
        <v>123</v>
      </c>
      <c r="I16" s="37" t="s">
        <v>124</v>
      </c>
      <c r="J16" s="34"/>
      <c r="K16" s="34"/>
      <c r="L16" s="38" t="str">
        <f aca="false">IF(AND(ISNUMBER(J16),ISNUMBER(K16)),J16*K16,"")</f>
        <v/>
      </c>
      <c r="M16" s="34"/>
      <c r="N16" s="38" t="str">
        <f aca="false">IF(AND(ISNUMBER(K16),ISNUMBER(L16),L16&lt;&gt;0),K16/L16,"")</f>
        <v/>
      </c>
      <c r="O16" s="37" t="s">
        <v>125</v>
      </c>
      <c r="P16" s="36" t="s">
        <v>75</v>
      </c>
    </row>
    <row r="17" customFormat="false" ht="60" hidden="false" customHeight="true" outlineLevel="0" collapsed="false">
      <c r="B17" s="32" t="n">
        <v>9</v>
      </c>
      <c r="C17" s="37"/>
      <c r="D17" s="37" t="s">
        <v>126</v>
      </c>
      <c r="E17" s="37" t="s">
        <v>127</v>
      </c>
      <c r="F17" s="37" t="s">
        <v>128</v>
      </c>
      <c r="G17" s="37" t="s">
        <v>129</v>
      </c>
      <c r="H17" s="37" t="s">
        <v>130</v>
      </c>
      <c r="I17" s="37" t="s">
        <v>131</v>
      </c>
      <c r="J17" s="34"/>
      <c r="K17" s="34"/>
      <c r="L17" s="38" t="str">
        <f aca="false">IF(AND(ISNUMBER(J17),ISNUMBER(K17)),J17*K17,"")</f>
        <v/>
      </c>
      <c r="M17" s="34"/>
      <c r="N17" s="38" t="str">
        <f aca="false">IF(AND(ISNUMBER(K17),ISNUMBER(L17),L17&lt;&gt;0),K17/L17,"")</f>
        <v/>
      </c>
      <c r="O17" s="37" t="s">
        <v>132</v>
      </c>
      <c r="P17" s="36" t="s">
        <v>75</v>
      </c>
    </row>
    <row r="18" customFormat="false" ht="60" hidden="false" customHeight="true" outlineLevel="0" collapsed="false">
      <c r="B18" s="32" t="n">
        <v>10</v>
      </c>
      <c r="C18" s="37"/>
      <c r="D18" s="37" t="s">
        <v>133</v>
      </c>
      <c r="E18" s="37" t="s">
        <v>134</v>
      </c>
      <c r="F18" s="37" t="s">
        <v>135</v>
      </c>
      <c r="G18" s="37" t="s">
        <v>136</v>
      </c>
      <c r="H18" s="37" t="s">
        <v>137</v>
      </c>
      <c r="I18" s="37" t="s">
        <v>138</v>
      </c>
      <c r="J18" s="34"/>
      <c r="K18" s="34"/>
      <c r="L18" s="38" t="str">
        <f aca="false">IF(AND(ISNUMBER(J18),ISNUMBER(K18)),J18*K18,"")</f>
        <v/>
      </c>
      <c r="M18" s="34"/>
      <c r="N18" s="38" t="str">
        <f aca="false">IF(AND(ISNUMBER(K18),ISNUMBER(L18),L18&lt;&gt;0),K18/L18,"")</f>
        <v/>
      </c>
      <c r="O18" s="37" t="s">
        <v>139</v>
      </c>
      <c r="P18" s="36" t="s">
        <v>75</v>
      </c>
    </row>
    <row r="19" customFormat="false" ht="27.75" hidden="false" customHeight="true" outlineLevel="0" collapsed="false">
      <c r="B19" s="31" t="s">
        <v>140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customFormat="false" ht="60" hidden="false" customHeight="true" outlineLevel="0" collapsed="false">
      <c r="B20" s="32" t="n">
        <v>11</v>
      </c>
      <c r="C20" s="39"/>
      <c r="D20" s="39" t="s">
        <v>141</v>
      </c>
      <c r="E20" s="39" t="s">
        <v>142</v>
      </c>
      <c r="F20" s="39" t="s">
        <v>143</v>
      </c>
      <c r="G20" s="39" t="s">
        <v>144</v>
      </c>
      <c r="H20" s="39" t="s">
        <v>145</v>
      </c>
      <c r="I20" s="39" t="s">
        <v>146</v>
      </c>
      <c r="J20" s="34"/>
      <c r="K20" s="34"/>
      <c r="L20" s="40" t="str">
        <f aca="false">IF(AND(ISNUMBER(J20),ISNUMBER(K20)),J20*K20,"")</f>
        <v/>
      </c>
      <c r="M20" s="34"/>
      <c r="N20" s="40" t="str">
        <f aca="false">IF(AND(ISNUMBER(K20),ISNUMBER(L20),L20&lt;&gt;0),K20/L20,"")</f>
        <v/>
      </c>
      <c r="O20" s="39" t="s">
        <v>147</v>
      </c>
      <c r="P20" s="36" t="s">
        <v>75</v>
      </c>
    </row>
    <row r="21" customFormat="false" ht="60" hidden="false" customHeight="true" outlineLevel="0" collapsed="false">
      <c r="B21" s="32" t="n">
        <v>12</v>
      </c>
      <c r="C21" s="39"/>
      <c r="D21" s="39" t="s">
        <v>148</v>
      </c>
      <c r="E21" s="39" t="s">
        <v>149</v>
      </c>
      <c r="F21" s="39" t="s">
        <v>150</v>
      </c>
      <c r="G21" s="39" t="s">
        <v>151</v>
      </c>
      <c r="H21" s="39" t="s">
        <v>152</v>
      </c>
      <c r="I21" s="39" t="s">
        <v>153</v>
      </c>
      <c r="J21" s="34"/>
      <c r="K21" s="34"/>
      <c r="L21" s="40" t="str">
        <f aca="false">IF(AND(ISNUMBER(J21),ISNUMBER(K21)),J21*K21,"")</f>
        <v/>
      </c>
      <c r="M21" s="34"/>
      <c r="N21" s="40" t="str">
        <f aca="false">IF(AND(ISNUMBER(K21),ISNUMBER(L21),L21&lt;&gt;0),K21/L21,"")</f>
        <v/>
      </c>
      <c r="O21" s="39" t="s">
        <v>154</v>
      </c>
      <c r="P21" s="36" t="s">
        <v>75</v>
      </c>
    </row>
    <row r="22" customFormat="false" ht="60" hidden="false" customHeight="true" outlineLevel="0" collapsed="false">
      <c r="B22" s="32" t="n">
        <v>13</v>
      </c>
      <c r="C22" s="39"/>
      <c r="D22" s="39" t="s">
        <v>155</v>
      </c>
      <c r="E22" s="39" t="s">
        <v>156</v>
      </c>
      <c r="F22" s="39" t="s">
        <v>157</v>
      </c>
      <c r="G22" s="39" t="s">
        <v>158</v>
      </c>
      <c r="H22" s="39" t="s">
        <v>159</v>
      </c>
      <c r="I22" s="39" t="s">
        <v>160</v>
      </c>
      <c r="J22" s="34"/>
      <c r="K22" s="34"/>
      <c r="L22" s="40" t="str">
        <f aca="false">IF(AND(ISNUMBER(J22),ISNUMBER(K22)),J22*K22,"")</f>
        <v/>
      </c>
      <c r="M22" s="34"/>
      <c r="N22" s="40" t="str">
        <f aca="false">IF(AND(ISNUMBER(K22),ISNUMBER(L22),L22&lt;&gt;0),K22/L22,"")</f>
        <v/>
      </c>
      <c r="O22" s="39" t="s">
        <v>161</v>
      </c>
      <c r="P22" s="36" t="s">
        <v>75</v>
      </c>
    </row>
    <row r="23" customFormat="false" ht="60" hidden="false" customHeight="true" outlineLevel="0" collapsed="false">
      <c r="B23" s="32" t="n">
        <v>14</v>
      </c>
      <c r="C23" s="39"/>
      <c r="D23" s="39" t="s">
        <v>162</v>
      </c>
      <c r="E23" s="39" t="s">
        <v>163</v>
      </c>
      <c r="F23" s="39" t="s">
        <v>164</v>
      </c>
      <c r="G23" s="39" t="s">
        <v>165</v>
      </c>
      <c r="H23" s="39" t="s">
        <v>166</v>
      </c>
      <c r="I23" s="39" t="s">
        <v>167</v>
      </c>
      <c r="J23" s="34"/>
      <c r="K23" s="34"/>
      <c r="L23" s="40" t="str">
        <f aca="false">IF(AND(ISNUMBER(J23),ISNUMBER(K23)),J23*K23,"")</f>
        <v/>
      </c>
      <c r="M23" s="34"/>
      <c r="N23" s="40" t="str">
        <f aca="false">IF(AND(ISNUMBER(K23),ISNUMBER(L23),L23&lt;&gt;0),K23/L23,"")</f>
        <v/>
      </c>
      <c r="O23" s="39" t="s">
        <v>168</v>
      </c>
      <c r="P23" s="36" t="s">
        <v>75</v>
      </c>
    </row>
    <row r="24" customFormat="false" ht="60" hidden="false" customHeight="true" outlineLevel="0" collapsed="false">
      <c r="B24" s="32" t="n">
        <v>15</v>
      </c>
      <c r="C24" s="39"/>
      <c r="D24" s="39" t="s">
        <v>169</v>
      </c>
      <c r="E24" s="39" t="s">
        <v>170</v>
      </c>
      <c r="F24" s="39" t="s">
        <v>171</v>
      </c>
      <c r="G24" s="39" t="s">
        <v>172</v>
      </c>
      <c r="H24" s="39" t="s">
        <v>173</v>
      </c>
      <c r="I24" s="39" t="s">
        <v>174</v>
      </c>
      <c r="J24" s="34"/>
      <c r="K24" s="34"/>
      <c r="L24" s="40" t="str">
        <f aca="false">IF(AND(ISNUMBER(J24),ISNUMBER(K24)),J24*K24,"")</f>
        <v/>
      </c>
      <c r="M24" s="34"/>
      <c r="N24" s="40" t="str">
        <f aca="false">IF(AND(ISNUMBER(K24),ISNUMBER(L24),L24&lt;&gt;0),K24/L24,"")</f>
        <v/>
      </c>
      <c r="O24" s="39" t="s">
        <v>175</v>
      </c>
      <c r="P24" s="36" t="s">
        <v>75</v>
      </c>
    </row>
    <row r="25" customFormat="false" ht="60" hidden="false" customHeight="true" outlineLevel="0" collapsed="false">
      <c r="B25" s="32" t="n">
        <v>16</v>
      </c>
      <c r="C25" s="39"/>
      <c r="D25" s="39" t="s">
        <v>176</v>
      </c>
      <c r="E25" s="39" t="s">
        <v>177</v>
      </c>
      <c r="F25" s="39" t="s">
        <v>178</v>
      </c>
      <c r="G25" s="39" t="s">
        <v>179</v>
      </c>
      <c r="H25" s="39" t="s">
        <v>180</v>
      </c>
      <c r="I25" s="39" t="s">
        <v>146</v>
      </c>
      <c r="J25" s="34"/>
      <c r="K25" s="34"/>
      <c r="L25" s="40" t="str">
        <f aca="false">IF(AND(ISNUMBER(J25),ISNUMBER(K25)),J25*K25,"")</f>
        <v/>
      </c>
      <c r="M25" s="34"/>
      <c r="N25" s="40" t="str">
        <f aca="false">IF(AND(ISNUMBER(K25),ISNUMBER(L25),L25&lt;&gt;0),K25/L25,"")</f>
        <v/>
      </c>
      <c r="O25" s="39" t="s">
        <v>181</v>
      </c>
      <c r="P25" s="36" t="s">
        <v>75</v>
      </c>
    </row>
    <row r="26" customFormat="false" ht="27.75" hidden="false" customHeight="true" outlineLevel="0" collapsed="false">
      <c r="B26" s="31" t="s">
        <v>182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27" customFormat="false" ht="60" hidden="false" customHeight="true" outlineLevel="0" collapsed="false">
      <c r="B27" s="32" t="n">
        <v>17</v>
      </c>
      <c r="C27" s="41"/>
      <c r="D27" s="41" t="s">
        <v>183</v>
      </c>
      <c r="E27" s="41" t="s">
        <v>184</v>
      </c>
      <c r="F27" s="41" t="s">
        <v>185</v>
      </c>
      <c r="G27" s="41" t="s">
        <v>186</v>
      </c>
      <c r="H27" s="41" t="s">
        <v>187</v>
      </c>
      <c r="I27" s="41" t="s">
        <v>188</v>
      </c>
      <c r="J27" s="34"/>
      <c r="K27" s="34"/>
      <c r="L27" s="42" t="str">
        <f aca="false">IF(AND(ISNUMBER(J27),ISNUMBER(K27)),J27*K27,"")</f>
        <v/>
      </c>
      <c r="M27" s="34"/>
      <c r="N27" s="42" t="str">
        <f aca="false">IF(AND(ISNUMBER(K27),ISNUMBER(L27),L27&lt;&gt;0),K27/L27,"")</f>
        <v/>
      </c>
      <c r="O27" s="41" t="s">
        <v>189</v>
      </c>
      <c r="P27" s="36" t="s">
        <v>75</v>
      </c>
    </row>
    <row r="28" customFormat="false" ht="60" hidden="false" customHeight="true" outlineLevel="0" collapsed="false">
      <c r="B28" s="32" t="n">
        <v>18</v>
      </c>
      <c r="C28" s="41"/>
      <c r="D28" s="41" t="s">
        <v>190</v>
      </c>
      <c r="E28" s="41" t="s">
        <v>191</v>
      </c>
      <c r="F28" s="41" t="s">
        <v>192</v>
      </c>
      <c r="G28" s="41" t="s">
        <v>193</v>
      </c>
      <c r="H28" s="41" t="s">
        <v>194</v>
      </c>
      <c r="I28" s="41" t="s">
        <v>195</v>
      </c>
      <c r="J28" s="34"/>
      <c r="K28" s="34"/>
      <c r="L28" s="42" t="str">
        <f aca="false">IF(AND(ISNUMBER(J28),ISNUMBER(K28)),J28*K28,"")</f>
        <v/>
      </c>
      <c r="M28" s="34"/>
      <c r="N28" s="42" t="str">
        <f aca="false">IF(AND(ISNUMBER(K28),ISNUMBER(L28),L28&lt;&gt;0),K28/L28,"")</f>
        <v/>
      </c>
      <c r="O28" s="41" t="s">
        <v>196</v>
      </c>
      <c r="P28" s="36" t="s">
        <v>75</v>
      </c>
    </row>
    <row r="29" customFormat="false" ht="60" hidden="false" customHeight="true" outlineLevel="0" collapsed="false">
      <c r="B29" s="32" t="n">
        <v>19</v>
      </c>
      <c r="C29" s="41"/>
      <c r="D29" s="41" t="s">
        <v>197</v>
      </c>
      <c r="E29" s="41" t="s">
        <v>198</v>
      </c>
      <c r="F29" s="41" t="s">
        <v>199</v>
      </c>
      <c r="G29" s="41" t="s">
        <v>200</v>
      </c>
      <c r="H29" s="41" t="s">
        <v>201</v>
      </c>
      <c r="I29" s="41" t="s">
        <v>202</v>
      </c>
      <c r="J29" s="34"/>
      <c r="K29" s="34"/>
      <c r="L29" s="42" t="str">
        <f aca="false">IF(AND(ISNUMBER(J29),ISNUMBER(K29)),J29*K29,"")</f>
        <v/>
      </c>
      <c r="M29" s="34"/>
      <c r="N29" s="42" t="str">
        <f aca="false">IF(AND(ISNUMBER(K29),ISNUMBER(L29),L29&lt;&gt;0),K29/L29,"")</f>
        <v/>
      </c>
      <c r="O29" s="41" t="s">
        <v>203</v>
      </c>
      <c r="P29" s="36" t="s">
        <v>75</v>
      </c>
    </row>
    <row r="30" customFormat="false" ht="60" hidden="false" customHeight="true" outlineLevel="0" collapsed="false">
      <c r="B30" s="32" t="n">
        <v>20</v>
      </c>
      <c r="C30" s="41"/>
      <c r="D30" s="41" t="s">
        <v>204</v>
      </c>
      <c r="E30" s="41" t="s">
        <v>205</v>
      </c>
      <c r="F30" s="41" t="s">
        <v>206</v>
      </c>
      <c r="G30" s="41" t="s">
        <v>207</v>
      </c>
      <c r="H30" s="41" t="s">
        <v>208</v>
      </c>
      <c r="I30" s="41" t="s">
        <v>209</v>
      </c>
      <c r="J30" s="34"/>
      <c r="K30" s="34"/>
      <c r="L30" s="42" t="str">
        <f aca="false">IF(AND(ISNUMBER(J30),ISNUMBER(K30)),J30*K30,"")</f>
        <v/>
      </c>
      <c r="M30" s="34"/>
      <c r="N30" s="42" t="str">
        <f aca="false">IF(AND(ISNUMBER(K30),ISNUMBER(L30),L30&lt;&gt;0),K30/L30,"")</f>
        <v/>
      </c>
      <c r="O30" s="41" t="s">
        <v>210</v>
      </c>
      <c r="P30" s="36" t="s">
        <v>75</v>
      </c>
    </row>
    <row r="31" customFormat="false" ht="60" hidden="false" customHeight="true" outlineLevel="0" collapsed="false">
      <c r="B31" s="32" t="n">
        <v>21</v>
      </c>
      <c r="C31" s="41"/>
      <c r="D31" s="41" t="s">
        <v>211</v>
      </c>
      <c r="E31" s="41" t="s">
        <v>212</v>
      </c>
      <c r="F31" s="41" t="s">
        <v>213</v>
      </c>
      <c r="G31" s="41" t="s">
        <v>214</v>
      </c>
      <c r="H31" s="41" t="s">
        <v>215</v>
      </c>
      <c r="I31" s="41" t="s">
        <v>216</v>
      </c>
      <c r="J31" s="34"/>
      <c r="K31" s="34"/>
      <c r="L31" s="42" t="str">
        <f aca="false">IF(AND(ISNUMBER(J31),ISNUMBER(K31)),J31*K31,"")</f>
        <v/>
      </c>
      <c r="M31" s="34"/>
      <c r="N31" s="42" t="str">
        <f aca="false">IF(AND(ISNUMBER(K31),ISNUMBER(L31),L31&lt;&gt;0),K31/L31,"")</f>
        <v/>
      </c>
      <c r="O31" s="41" t="s">
        <v>217</v>
      </c>
      <c r="P31" s="36" t="s">
        <v>75</v>
      </c>
    </row>
    <row r="32" customFormat="false" ht="27.75" hidden="false" customHeight="true" outlineLevel="0" collapsed="false">
      <c r="B32" s="31" t="s">
        <v>218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</row>
    <row r="33" customFormat="false" ht="60" hidden="false" customHeight="true" outlineLevel="0" collapsed="false">
      <c r="B33" s="32" t="n">
        <v>22</v>
      </c>
      <c r="C33" s="43"/>
      <c r="D33" s="43" t="s">
        <v>219</v>
      </c>
      <c r="E33" s="43" t="s">
        <v>220</v>
      </c>
      <c r="F33" s="43" t="s">
        <v>221</v>
      </c>
      <c r="G33" s="43" t="s">
        <v>222</v>
      </c>
      <c r="H33" s="43" t="s">
        <v>223</v>
      </c>
      <c r="I33" s="43" t="s">
        <v>224</v>
      </c>
      <c r="J33" s="34"/>
      <c r="K33" s="34"/>
      <c r="L33" s="44" t="str">
        <f aca="false">IF(AND(ISNUMBER(J33),ISNUMBER(K33)),J33*K33,"")</f>
        <v/>
      </c>
      <c r="M33" s="34"/>
      <c r="N33" s="44" t="str">
        <f aca="false">IF(AND(ISNUMBER(K33),ISNUMBER(L33),L33&lt;&gt;0),K33/L33,"")</f>
        <v/>
      </c>
      <c r="O33" s="43" t="s">
        <v>225</v>
      </c>
      <c r="P33" s="36" t="s">
        <v>75</v>
      </c>
    </row>
    <row r="34" customFormat="false" ht="60" hidden="false" customHeight="true" outlineLevel="0" collapsed="false">
      <c r="B34" s="32" t="n">
        <v>23</v>
      </c>
      <c r="C34" s="43"/>
      <c r="D34" s="43" t="s">
        <v>226</v>
      </c>
      <c r="E34" s="43" t="s">
        <v>227</v>
      </c>
      <c r="F34" s="43" t="s">
        <v>228</v>
      </c>
      <c r="G34" s="43" t="s">
        <v>229</v>
      </c>
      <c r="H34" s="43" t="s">
        <v>230</v>
      </c>
      <c r="I34" s="43" t="s">
        <v>231</v>
      </c>
      <c r="J34" s="34"/>
      <c r="K34" s="34"/>
      <c r="L34" s="44" t="str">
        <f aca="false">IF(AND(ISNUMBER(J34),ISNUMBER(K34)),J34*K34,"")</f>
        <v/>
      </c>
      <c r="M34" s="34"/>
      <c r="N34" s="44" t="str">
        <f aca="false">IF(AND(ISNUMBER(K34),ISNUMBER(L34),L34&lt;&gt;0),K34/L34,"")</f>
        <v/>
      </c>
      <c r="O34" s="43" t="s">
        <v>232</v>
      </c>
      <c r="P34" s="36" t="s">
        <v>75</v>
      </c>
    </row>
    <row r="35" customFormat="false" ht="60" hidden="false" customHeight="true" outlineLevel="0" collapsed="false">
      <c r="B35" s="32" t="n">
        <v>24</v>
      </c>
      <c r="C35" s="43"/>
      <c r="D35" s="43" t="s">
        <v>233</v>
      </c>
      <c r="E35" s="43" t="s">
        <v>234</v>
      </c>
      <c r="F35" s="43" t="s">
        <v>235</v>
      </c>
      <c r="G35" s="43" t="s">
        <v>236</v>
      </c>
      <c r="H35" s="43" t="s">
        <v>237</v>
      </c>
      <c r="I35" s="43" t="s">
        <v>238</v>
      </c>
      <c r="J35" s="34"/>
      <c r="K35" s="34"/>
      <c r="L35" s="44" t="str">
        <f aca="false">IF(AND(ISNUMBER(J35),ISNUMBER(K35)),J35*K35,"")</f>
        <v/>
      </c>
      <c r="M35" s="34"/>
      <c r="N35" s="44" t="str">
        <f aca="false">IF(AND(ISNUMBER(K35),ISNUMBER(L35),L35&lt;&gt;0),K35/L35,"")</f>
        <v/>
      </c>
      <c r="O35" s="43" t="s">
        <v>239</v>
      </c>
      <c r="P35" s="36" t="s">
        <v>75</v>
      </c>
    </row>
    <row r="36" customFormat="false" ht="60" hidden="false" customHeight="true" outlineLevel="0" collapsed="false">
      <c r="B36" s="32" t="n">
        <v>25</v>
      </c>
      <c r="C36" s="43"/>
      <c r="D36" s="43" t="s">
        <v>240</v>
      </c>
      <c r="E36" s="43" t="s">
        <v>241</v>
      </c>
      <c r="F36" s="43" t="s">
        <v>242</v>
      </c>
      <c r="G36" s="43" t="s">
        <v>243</v>
      </c>
      <c r="H36" s="43" t="s">
        <v>244</v>
      </c>
      <c r="I36" s="43" t="s">
        <v>245</v>
      </c>
      <c r="J36" s="34"/>
      <c r="K36" s="34"/>
      <c r="L36" s="44" t="str">
        <f aca="false">IF(AND(ISNUMBER(J36),ISNUMBER(K36)),J36*K36,"")</f>
        <v/>
      </c>
      <c r="M36" s="34"/>
      <c r="N36" s="44" t="str">
        <f aca="false">IF(AND(ISNUMBER(K36),ISNUMBER(L36),L36&lt;&gt;0),K36/L36,"")</f>
        <v/>
      </c>
      <c r="O36" s="43" t="s">
        <v>246</v>
      </c>
      <c r="P36" s="36" t="s">
        <v>75</v>
      </c>
    </row>
    <row r="37" customFormat="false" ht="60" hidden="false" customHeight="true" outlineLevel="0" collapsed="false">
      <c r="B37" s="32" t="n">
        <v>26</v>
      </c>
      <c r="C37" s="43"/>
      <c r="D37" s="43" t="s">
        <v>247</v>
      </c>
      <c r="E37" s="43" t="s">
        <v>248</v>
      </c>
      <c r="F37" s="43" t="s">
        <v>249</v>
      </c>
      <c r="G37" s="43" t="s">
        <v>250</v>
      </c>
      <c r="H37" s="43" t="s">
        <v>251</v>
      </c>
      <c r="I37" s="43" t="s">
        <v>245</v>
      </c>
      <c r="J37" s="34"/>
      <c r="K37" s="34"/>
      <c r="L37" s="44" t="str">
        <f aca="false">IF(AND(ISNUMBER(J37),ISNUMBER(K37)),J37*K37,"")</f>
        <v/>
      </c>
      <c r="M37" s="34"/>
      <c r="N37" s="44" t="str">
        <f aca="false">IF(AND(ISNUMBER(K37),ISNUMBER(L37),L37&lt;&gt;0),K37/L37,"")</f>
        <v/>
      </c>
      <c r="O37" s="43" t="s">
        <v>252</v>
      </c>
      <c r="P37" s="36" t="s">
        <v>75</v>
      </c>
    </row>
  </sheetData>
  <mergeCells count="8">
    <mergeCell ref="B2:O2"/>
    <mergeCell ref="B3:O3"/>
    <mergeCell ref="B4:O4"/>
    <mergeCell ref="B7:O7"/>
    <mergeCell ref="B13:O13"/>
    <mergeCell ref="B19:O19"/>
    <mergeCell ref="B26:O26"/>
    <mergeCell ref="B32:O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12" min="4" style="0" width="14"/>
  </cols>
  <sheetData>
    <row r="2" customFormat="false" ht="25.5" hidden="false" customHeight="true" outlineLevel="0" collapsed="false">
      <c r="B2" s="12" t="s">
        <v>253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5" customFormat="false" ht="19.5" hidden="false" customHeight="true" outlineLevel="0" collapsed="false">
      <c r="B5" s="45" t="s">
        <v>254</v>
      </c>
      <c r="C5" s="46"/>
      <c r="E5" s="47" t="s">
        <v>255</v>
      </c>
      <c r="F5" s="47"/>
      <c r="G5" s="47"/>
      <c r="H5" s="47"/>
      <c r="I5" s="47"/>
      <c r="J5" s="47"/>
      <c r="K5" s="47"/>
      <c r="L5" s="47"/>
    </row>
    <row r="6" customFormat="false" ht="19.5" hidden="false" customHeight="true" outlineLevel="0" collapsed="false">
      <c r="B6" s="45" t="s">
        <v>256</v>
      </c>
      <c r="C6" s="46"/>
    </row>
    <row r="7" customFormat="false" ht="19.5" hidden="false" customHeight="true" outlineLevel="0" collapsed="false">
      <c r="B7" s="45" t="s">
        <v>257</v>
      </c>
      <c r="C7" s="46"/>
    </row>
    <row r="8" customFormat="false" ht="19.5" hidden="false" customHeight="true" outlineLevel="0" collapsed="false">
      <c r="B8" s="45" t="s">
        <v>258</v>
      </c>
      <c r="C8" s="46"/>
    </row>
    <row r="9" customFormat="false" ht="19.5" hidden="false" customHeight="true" outlineLevel="0" collapsed="false">
      <c r="B9" s="45" t="s">
        <v>259</v>
      </c>
      <c r="C9" s="46"/>
    </row>
    <row r="10" customFormat="false" ht="19.5" hidden="false" customHeight="true" outlineLevel="0" collapsed="false">
      <c r="B10" s="45" t="s">
        <v>260</v>
      </c>
      <c r="C10" s="46"/>
    </row>
    <row r="12" customFormat="false" ht="21.75" hidden="false" customHeight="true" outlineLevel="0" collapsed="false">
      <c r="B12" s="48" t="s">
        <v>261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</row>
    <row r="13" customFormat="false" ht="39.75" hidden="false" customHeight="true" outlineLevel="0" collapsed="false">
      <c r="B13" s="49" t="s">
        <v>262</v>
      </c>
      <c r="C13" s="49" t="s">
        <v>263</v>
      </c>
      <c r="D13" s="49" t="s">
        <v>264</v>
      </c>
      <c r="E13" s="49" t="s">
        <v>265</v>
      </c>
      <c r="F13" s="49" t="s">
        <v>266</v>
      </c>
      <c r="G13" s="49" t="s">
        <v>267</v>
      </c>
      <c r="H13" s="49" t="s">
        <v>268</v>
      </c>
      <c r="I13" s="49" t="s">
        <v>269</v>
      </c>
      <c r="J13" s="49" t="s">
        <v>270</v>
      </c>
    </row>
    <row r="14" customFormat="false" ht="21.75" hidden="false" customHeight="true" outlineLevel="0" collapsed="false">
      <c r="B14" s="50" t="s">
        <v>271</v>
      </c>
      <c r="C14" s="51" t="s">
        <v>272</v>
      </c>
      <c r="D14" s="52" t="n">
        <v>0.4</v>
      </c>
      <c r="E14" s="52" t="n">
        <v>0.2</v>
      </c>
      <c r="F14" s="52" t="n">
        <v>0.2</v>
      </c>
      <c r="G14" s="53"/>
      <c r="H14" s="54" t="str">
        <f aca="false">IF(ISNUMBER(G14),D14*G14,"")</f>
        <v/>
      </c>
      <c r="I14" s="54" t="str">
        <f aca="false">IF(ISNUMBER(G14),E14*G14,"")</f>
        <v/>
      </c>
      <c r="J14" s="54" t="str">
        <f aca="false">IF(ISNUMBER(G14),F14*G14,"")</f>
        <v/>
      </c>
    </row>
    <row r="15" customFormat="false" ht="21.75" hidden="false" customHeight="true" outlineLevel="0" collapsed="false">
      <c r="B15" s="55" t="s">
        <v>273</v>
      </c>
      <c r="C15" s="56" t="s">
        <v>274</v>
      </c>
      <c r="D15" s="57" t="n">
        <v>0.1</v>
      </c>
      <c r="E15" s="57" t="n">
        <v>0.4</v>
      </c>
      <c r="F15" s="57" t="n">
        <v>0.1</v>
      </c>
      <c r="G15" s="53"/>
      <c r="H15" s="58" t="str">
        <f aca="false">IF(ISNUMBER(G15),D15*G15,"")</f>
        <v/>
      </c>
      <c r="I15" s="58" t="str">
        <f aca="false">IF(ISNUMBER(G15),E15*G15,"")</f>
        <v/>
      </c>
      <c r="J15" s="58" t="str">
        <f aca="false">IF(ISNUMBER(G15),F15*G15,"")</f>
        <v/>
      </c>
    </row>
    <row r="16" customFormat="false" ht="21.75" hidden="false" customHeight="true" outlineLevel="0" collapsed="false">
      <c r="B16" s="59" t="s">
        <v>275</v>
      </c>
      <c r="C16" s="60" t="s">
        <v>276</v>
      </c>
      <c r="D16" s="61" t="n">
        <v>0.2</v>
      </c>
      <c r="E16" s="61" t="n">
        <v>0.2</v>
      </c>
      <c r="F16" s="61" t="n">
        <v>0.1</v>
      </c>
      <c r="G16" s="53"/>
      <c r="H16" s="62" t="str">
        <f aca="false">IF(ISNUMBER(G16),D16*G16,"")</f>
        <v/>
      </c>
      <c r="I16" s="62" t="str">
        <f aca="false">IF(ISNUMBER(G16),E16*G16,"")</f>
        <v/>
      </c>
      <c r="J16" s="62" t="str">
        <f aca="false">IF(ISNUMBER(G16),F16*G16,"")</f>
        <v/>
      </c>
    </row>
    <row r="17" customFormat="false" ht="21.75" hidden="false" customHeight="true" outlineLevel="0" collapsed="false">
      <c r="B17" s="63" t="s">
        <v>277</v>
      </c>
      <c r="C17" s="64" t="s">
        <v>278</v>
      </c>
      <c r="D17" s="65" t="n">
        <v>0.1</v>
      </c>
      <c r="E17" s="65" t="n">
        <v>0.05</v>
      </c>
      <c r="F17" s="65" t="n">
        <v>0.35</v>
      </c>
      <c r="G17" s="53"/>
      <c r="H17" s="66" t="str">
        <f aca="false">IF(ISNUMBER(G17),D17*G17,"")</f>
        <v/>
      </c>
      <c r="I17" s="66" t="str">
        <f aca="false">IF(ISNUMBER(G17),E17*G17,"")</f>
        <v/>
      </c>
      <c r="J17" s="66" t="str">
        <f aca="false">IF(ISNUMBER(G17),F17*G17,"")</f>
        <v/>
      </c>
    </row>
    <row r="18" customFormat="false" ht="21.75" hidden="false" customHeight="true" outlineLevel="0" collapsed="false">
      <c r="B18" s="67" t="s">
        <v>279</v>
      </c>
      <c r="C18" s="68" t="s">
        <v>280</v>
      </c>
      <c r="D18" s="69" t="n">
        <v>0.2</v>
      </c>
      <c r="E18" s="69" t="n">
        <v>0.15</v>
      </c>
      <c r="F18" s="69" t="n">
        <v>0.25</v>
      </c>
      <c r="G18" s="53"/>
      <c r="H18" s="70" t="str">
        <f aca="false">IF(ISNUMBER(G18),D18*G18,"")</f>
        <v/>
      </c>
      <c r="I18" s="70" t="str">
        <f aca="false">IF(ISNUMBER(G18),E18*G18,"")</f>
        <v/>
      </c>
      <c r="J18" s="70" t="str">
        <f aca="false">IF(ISNUMBER(G18),F18*G18,"")</f>
        <v/>
      </c>
    </row>
    <row r="20" customFormat="false" ht="21.75" hidden="false" customHeight="true" outlineLevel="0" collapsed="false">
      <c r="B20" s="71" t="s">
        <v>281</v>
      </c>
      <c r="C20" s="71"/>
      <c r="D20" s="71"/>
      <c r="E20" s="71"/>
    </row>
    <row r="21" customFormat="false" ht="19.5" hidden="false" customHeight="true" outlineLevel="0" collapsed="false">
      <c r="B21" s="45" t="s">
        <v>282</v>
      </c>
      <c r="C21" s="72" t="n">
        <f aca="false">SUM(H14:H18)</f>
        <v>0</v>
      </c>
      <c r="E21" s="73" t="s">
        <v>283</v>
      </c>
      <c r="F21" s="73"/>
      <c r="G21" s="73"/>
      <c r="H21" s="73"/>
      <c r="I21" s="73"/>
      <c r="J21" s="73"/>
      <c r="K21" s="73"/>
      <c r="L21" s="73"/>
    </row>
    <row r="22" customFormat="false" ht="19.5" hidden="false" customHeight="true" outlineLevel="0" collapsed="false">
      <c r="B22" s="45" t="s">
        <v>284</v>
      </c>
      <c r="C22" s="72" t="n">
        <f aca="false">SUM(I14:I18)</f>
        <v>0</v>
      </c>
    </row>
    <row r="23" customFormat="false" ht="19.5" hidden="false" customHeight="true" outlineLevel="0" collapsed="false">
      <c r="B23" s="45" t="s">
        <v>285</v>
      </c>
      <c r="C23" s="72" t="n">
        <f aca="false">SUM(J14:J18)</f>
        <v>0</v>
      </c>
    </row>
    <row r="25" customFormat="false" ht="54.75" hidden="false" customHeight="true" outlineLevel="0" collapsed="false">
      <c r="B25" s="74" t="s">
        <v>286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</row>
  </sheetData>
  <mergeCells count="6">
    <mergeCell ref="B2:L2"/>
    <mergeCell ref="E5:L5"/>
    <mergeCell ref="B12:L12"/>
    <mergeCell ref="B20:E20"/>
    <mergeCell ref="E21:L21"/>
    <mergeCell ref="B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8" min="5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32"/>
  </cols>
  <sheetData>
    <row r="2" customFormat="false" ht="25.5" hidden="false" customHeight="true" outlineLevel="0" collapsed="false">
      <c r="B2" s="12" t="s">
        <v>287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customFormat="false" ht="49.5" hidden="false" customHeight="true" outlineLevel="0" collapsed="false">
      <c r="B4" s="74" t="s">
        <v>288</v>
      </c>
      <c r="C4" s="74"/>
      <c r="D4" s="74"/>
      <c r="E4" s="74"/>
      <c r="F4" s="74"/>
      <c r="G4" s="74"/>
      <c r="H4" s="74"/>
      <c r="I4" s="74"/>
      <c r="J4" s="74"/>
      <c r="K4" s="74"/>
      <c r="L4" s="74"/>
    </row>
    <row r="5" customFormat="false" ht="15" hidden="false" customHeight="false" outlineLevel="0" collapsed="false"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7" customFormat="false" ht="45" hidden="false" customHeight="true" outlineLevel="0" collapsed="false">
      <c r="B7" s="30" t="s">
        <v>289</v>
      </c>
      <c r="C7" s="30" t="s">
        <v>290</v>
      </c>
      <c r="D7" s="30" t="s">
        <v>291</v>
      </c>
      <c r="E7" s="30" t="s">
        <v>292</v>
      </c>
      <c r="F7" s="30" t="s">
        <v>293</v>
      </c>
      <c r="G7" s="30" t="s">
        <v>294</v>
      </c>
      <c r="H7" s="30" t="s">
        <v>295</v>
      </c>
      <c r="I7" s="30" t="s">
        <v>296</v>
      </c>
      <c r="J7" s="30" t="s">
        <v>297</v>
      </c>
      <c r="K7" s="30" t="s">
        <v>298</v>
      </c>
      <c r="L7" s="30" t="s">
        <v>299</v>
      </c>
    </row>
    <row r="8" customFormat="false" ht="21.75" hidden="false" customHeight="true" outlineLevel="0" collapsed="false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</row>
    <row r="9" customFormat="false" ht="21.75" hidden="false" customHeight="true" outlineLevel="0" collapsed="false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</row>
    <row r="10" customFormat="false" ht="21.75" hidden="false" customHeight="true" outlineLevel="0" collapsed="false"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</row>
    <row r="11" customFormat="false" ht="21.75" hidden="false" customHeight="true" outlineLevel="0" collapsed="false"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</row>
    <row r="12" customFormat="false" ht="21.75" hidden="false" customHeight="true" outlineLevel="0" collapsed="false"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</row>
    <row r="13" customFormat="false" ht="21.75" hidden="false" customHeight="true" outlineLevel="0" collapsed="false"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</row>
    <row r="14" customFormat="false" ht="21.75" hidden="false" customHeight="true" outlineLevel="0" collapsed="false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</row>
    <row r="15" customFormat="false" ht="21.75" hidden="false" customHeight="true" outlineLevel="0" collapsed="false"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</row>
    <row r="16" customFormat="false" ht="21.75" hidden="false" customHeight="true" outlineLevel="0" collapsed="false"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</row>
    <row r="17" customFormat="false" ht="21.75" hidden="false" customHeight="true" outlineLevel="0" collapsed="false"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</row>
    <row r="18" customFormat="false" ht="21.75" hidden="false" customHeight="true" outlineLevel="0" collapsed="false"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</row>
    <row r="19" customFormat="false" ht="21.75" hidden="false" customHeight="true" outlineLevel="0" collapsed="false"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</row>
    <row r="20" customFormat="false" ht="21.75" hidden="false" customHeight="true" outlineLevel="0" collapsed="false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</row>
    <row r="21" customFormat="false" ht="21.75" hidden="false" customHeight="true" outlineLevel="0" collapsed="false"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</row>
    <row r="22" customFormat="false" ht="21.75" hidden="false" customHeight="true" outlineLevel="0" collapsed="false"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</row>
    <row r="23" customFormat="false" ht="21.75" hidden="false" customHeight="true" outlineLevel="0" collapsed="false"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</row>
    <row r="24" customFormat="false" ht="21.75" hidden="false" customHeight="true" outlineLevel="0" collapsed="false"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</row>
    <row r="25" customFormat="false" ht="21.75" hidden="false" customHeight="true" outlineLevel="0" collapsed="false"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</row>
    <row r="26" customFormat="false" ht="21.75" hidden="false" customHeight="true" outlineLevel="0" collapsed="false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</row>
    <row r="27" customFormat="false" ht="21.75" hidden="false" customHeight="true" outlineLevel="0" collapsed="false"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</row>
    <row r="30" customFormat="false" ht="15" hidden="false" customHeight="false" outlineLevel="0" collapsed="false">
      <c r="B30" s="77" t="s">
        <v>300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</row>
    <row r="31" customFormat="false" ht="19.4" hidden="false" customHeight="false" outlineLevel="0" collapsed="false">
      <c r="B31" s="78" t="s">
        <v>301</v>
      </c>
      <c r="C31" s="78" t="s">
        <v>302</v>
      </c>
      <c r="D31" s="78" t="s">
        <v>303</v>
      </c>
      <c r="E31" s="78" t="s">
        <v>304</v>
      </c>
      <c r="F31" s="78" t="s">
        <v>305</v>
      </c>
    </row>
    <row r="32" customFormat="false" ht="18" hidden="false" customHeight="true" outlineLevel="0" collapsed="false">
      <c r="B32" s="79" t="s">
        <v>6</v>
      </c>
      <c r="C32" s="79" t="s">
        <v>306</v>
      </c>
      <c r="D32" s="79" t="s">
        <v>307</v>
      </c>
      <c r="E32" s="79" t="s">
        <v>308</v>
      </c>
      <c r="F32" s="79" t="s">
        <v>309</v>
      </c>
    </row>
  </sheetData>
  <mergeCells count="3">
    <mergeCell ref="B2:L2"/>
    <mergeCell ref="B4:L5"/>
    <mergeCell ref="B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2026-05-01T13:08:31Z</dcterms:created>
  <dc:creator>openpyxl</dc:creator>
  <dc:description/>
  <dc:language>en-US</dc:language>
  <cp:lastModifiedBy/>
  <dcterms:modified xsi:type="dcterms:W3CDTF">2026-05-01T13:08:31Z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