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tage Weights" sheetId="2" state="visible" r:id="rId4"/>
    <sheet name="Core Risk Domain" sheetId="3" state="visible" r:id="rId5"/>
    <sheet name="Scoring Calculator" sheetId="4" state="visible" r:id="rId6"/>
    <sheet name="Audit &amp; RIA Compliance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<sst xmlns="http://schemas.openxmlformats.org/spreadsheetml/2006/main" count="334" uniqueCount="305">
  <si>
    <t xml:space="preserve">TokenCap Advisors LLC  |  TCA Intelligence Framework</t>
  </si>
  <si>
    <t xml:space="preserve">Renewables — Core Risk Domain Framework</t>
  </si>
  <si>
    <t xml:space="preserve">Version 1.0  |  Effective Date: 2026  |  CONFIDENTIAL — RIA RECORD</t>
  </si>
  <si>
    <t xml:space="preserve">Document Purpose</t>
  </si>
  <si>
    <t xml:space="preserve">This workbook constitutes the authoritative TCA Core Risk Domain Framework for U.S. Renewable Energy investments (solar PV, onshore/offshore wind, storage, hybrid). It is a governed, version-controlled record produced in compliance with the Investment Advisers Act of 1940 and SEC Rule 204-2 (Books &amp; Records, 17 CFR § 275.204-2). All scored outputs derived from this framework must be retained for a minimum of five years in an immutable format accessible to regulators upon request.</t>
  </si>
  <si>
    <t xml:space="preserve">Framework Version:</t>
  </si>
  <si>
    <t xml:space="preserve">RE-REN-001-v1.0</t>
  </si>
  <si>
    <t xml:space="preserve">Asset Class:</t>
  </si>
  <si>
    <t xml:space="preserve">U.S. Renewable Energy (Solar PV, Wind, Storage, Hybrid)</t>
  </si>
  <si>
    <t xml:space="preserve">Issuing Function:</t>
  </si>
  <si>
    <t xml:space="preserve">TCA Research &amp; Investment (R&amp;I) / Risk Function</t>
  </si>
  <si>
    <t xml:space="preserve">Methodology Basis:</t>
  </si>
  <si>
    <t xml:space="preserve">TCA Five-Domain Risk Framework  |  Stage-Sensitive Weighting</t>
  </si>
  <si>
    <t xml:space="preserve">Regulatory Alignment:</t>
  </si>
  <si>
    <t xml:space="preserve">Investment Advisers Act 1940  |  SEC Rule 204-2  |  RIA Recordkeeping</t>
  </si>
  <si>
    <t xml:space="preserve">Retention Requirement:</t>
  </si>
  <si>
    <t xml:space="preserve">Minimum 5 years — immutable storage required</t>
  </si>
  <si>
    <t xml:space="preserve">Review Cycle:</t>
  </si>
  <si>
    <t xml:space="preserve">Annual or upon material methodology change (CRO approval required)</t>
  </si>
  <si>
    <t xml:space="preserve">Approved by:</t>
  </si>
  <si>
    <t xml:space="preserve">[CRO Signature / Date]</t>
  </si>
  <si>
    <t xml:space="preserve">Five Risk Domains — Renewables Mapping</t>
  </si>
  <si>
    <t xml:space="preserve">TCA Domain</t>
  </si>
  <si>
    <t xml:space="preserve">Renewables Application</t>
  </si>
  <si>
    <t xml:space="preserve">Foundational / Asset Risk (FR)</t>
  </si>
  <si>
    <t xml:space="preserve">Resource &amp; Energy Yield Risk</t>
  </si>
  <si>
    <t xml:space="preserve">Technical &amp; Execution Risk (TE)</t>
  </si>
  <si>
    <t xml:space="preserve">Technical &amp; Construction Risk</t>
  </si>
  <si>
    <t xml:space="preserve">Regulatory &amp; External Constraint (RE)</t>
  </si>
  <si>
    <t xml:space="preserve">Regulatory, Policy &amp; Permitting Risk</t>
  </si>
  <si>
    <t xml:space="preserve">Commercial &amp; Financial Risk (CF)</t>
  </si>
  <si>
    <t xml:space="preserve">Commercial, Offtake &amp; Financial Risk</t>
  </si>
  <si>
    <t xml:space="preserve">Infrastructure, Integration &amp; Market (IM)</t>
  </si>
  <si>
    <t xml:space="preserve">Grid, Infrastructure &amp; Market Risk</t>
  </si>
  <si>
    <t xml:space="preserve">⚠  RIA Notice: This framework and all outputs derived from it constitute research records subject to SEC Rule 204-2. Outputs must be traceable, reproducible, and retained. Scoring must be performed within the TCA Risk Engine once operational. Spreadsheet-based assessments are an interim measure only.</t>
  </si>
  <si>
    <t xml:space="preserve">TCA Renewables — Stage-Sensitive Domain Weight Table</t>
  </si>
  <si>
    <t xml:space="preserve">Domain weights shift dynamically by project stage per TCA methodology. Weights must sum to 100% per stage. Stage assignment requires analyst confirmation.</t>
  </si>
  <si>
    <t xml:space="preserve">Risk Domain (TCA Mapping)</t>
  </si>
  <si>
    <t xml:space="preserve">Early Development</t>
  </si>
  <si>
    <t xml:space="preserve">Construction</t>
  </si>
  <si>
    <t xml:space="preserve">Operating / Cash-Flowing</t>
  </si>
  <si>
    <t xml:space="preserve">Weighting Rationale</t>
  </si>
  <si>
    <t xml:space="preserve">Resource &amp; Energy Yield (FR)</t>
  </si>
  <si>
    <t xml:space="preserve">Dominates at Early Development — resource quality is the foundational value driver; uncertainty highest pre-construction.</t>
  </si>
  <si>
    <t xml:space="preserve">Technical &amp; Construction (TE)</t>
  </si>
  <si>
    <t xml:space="preserve">Dominates at Construction — EPC execution, schedule, and cost risk are peak during build phase.</t>
  </si>
  <si>
    <t xml:space="preserve">Regulatory &amp; Policy (RE)</t>
  </si>
  <si>
    <t xml:space="preserve">Cross-stage — interconnection and permitting risk is material at all stages; peaks at Early Development.</t>
  </si>
  <si>
    <t xml:space="preserve">Commercial &amp; Financial (CF)</t>
  </si>
  <si>
    <t xml:space="preserve">Dominates at Operating — contracted revenue, DSCR, and offtaker credit drive stabilized asset value.</t>
  </si>
  <si>
    <t xml:space="preserve">Infrastructure &amp; Market (IM)</t>
  </si>
  <si>
    <t xml:space="preserve">Elevated at Operating — grid congestion, curtailment, and merchant exposure affect realized revenue and exit.</t>
  </si>
  <si>
    <t xml:space="preserve">Sum Check (must = 100%)</t>
  </si>
  <si>
    <t xml:space="preserve">TokenCap Advisors LLC  |  TCA Intelligence Framework  |  Renewables — Core Risk Domain Data Collection Framework</t>
  </si>
  <si>
    <t xml:space="preserve">Framework Version: RE-REN-001-v1.0  |  Asset Class: U.S. Renewable Energy  |  Regulatory Basis: Investment Advisers Act 1940  |  SEC Rule 204-2  |  Methodology: TCA Five-Domain Risk Framework</t>
  </si>
  <si>
    <t xml:space="preserve">SCORING KEY:  Likelihood 0–3  ×  Impact 0–3  =  Inherent Risk (0–9)  |  Residual Risk = Inherent ÷ Control Effectiveness (1=Weak, 2=Adequate, 3=Strong)  |  TCA Grade:  1.0–1.9=TCA-A (Stable)  2.0–2.5=TCA-B (Core)  2.6–3.2=TCA-C (Opportunistic)  3.3–4.0=TCA-D (High-Risk)  &gt;4.0=TCA-S (Speculative)</t>
  </si>
  <si>
    <t xml:space="preserve">#</t>
  </si>
  <si>
    <t xml:space="preserve">Risk Domain
(TCA Mapping)</t>
  </si>
  <si>
    <t xml:space="preserve">Risk Element</t>
  </si>
  <si>
    <t xml:space="preserve">Description</t>
  </si>
  <si>
    <t xml:space="preserve">Information Required
(Data Collection Checklist)</t>
  </si>
  <si>
    <t xml:space="preserve">Risk Signature
(What Can Go Wrong)</t>
  </si>
  <si>
    <t xml:space="preserve">Primary Data Sources</t>
  </si>
  <si>
    <t xml:space="preserve">Source Type</t>
  </si>
  <si>
    <t xml:space="preserve">Likelihood
(0–3)</t>
  </si>
  <si>
    <t xml:space="preserve">Impact
(0–3)</t>
  </si>
  <si>
    <t xml:space="preserve">Inherent
Risk</t>
  </si>
  <si>
    <t xml:space="preserve">Control
Effectiveness
(1–3)</t>
  </si>
  <si>
    <t xml:space="preserve">Residual
Risk</t>
  </si>
  <si>
    <t xml:space="preserve">Analyst Notes / Evidence Reference</t>
  </si>
  <si>
    <t xml:space="preserve">RIA Recordkeeping Note
(SEC Rule 204-2)</t>
  </si>
  <si>
    <t xml:space="preserve">  Resource &amp; Energy Yield
(Foundational / Asset Risk — FR)</t>
  </si>
  <si>
    <t xml:space="preserve">Solar Irradiance Accuracy
&amp; P50/P90 Yield Assessment</t>
  </si>
  <si>
    <t xml:space="preserve">Quality and credibility of solar resource data underpinning energy yield estimates, including P50 and P90 scenarios.</t>
  </si>
  <si>
    <t xml:space="preserve">P50/P90 energy yield reports (independent engineer); satellite vs. ground-truth comparison; on-site pyranometer data; interannual variability (IAV) statistics</t>
  </si>
  <si>
    <t xml:space="preserve">Over-optimistic P50 forecast; inadequate P90 stress test; high IAV inflates downside risk and threatens DSCR covenant compliance</t>
  </si>
  <si>
    <t xml:space="preserve">Solargis; NREL NSRDB; SolarAnywhere; on-site pyranometer/soiling station data; independent energy assessor (DNV, Leidos, kWh Analytics)</t>
  </si>
  <si>
    <t xml:space="preserve">Technical / Physical</t>
  </si>
  <si>
    <t xml:space="preserve">Compare P90 yield with adjacent operating project actuals; high IAV (&gt;5%) requires conservative debt sizing. Require independent engineer sign-off.</t>
  </si>
  <si>
    <t xml:space="preserve">Retain per SEC Rule 204-2 — minimum 5 years</t>
  </si>
  <si>
    <t xml:space="preserve">Wind Resource Characterization
&amp; Interannual Variability</t>
  </si>
  <si>
    <t xml:space="preserve">Adequacy of wind measurement campaign and statistical robustness of wind speed distribution used in energy models.</t>
  </si>
  <si>
    <t xml:space="preserve">On-site met tower or lidar data (minimum 12 months); wind shear profile; turbulence intensity; wake loss modeling; interannual variability coefficient</t>
  </si>
  <si>
    <t xml:space="preserve">Underperformance relative to P50; inadequate measurement campaign leads to model uncertainty and lender rejection</t>
  </si>
  <si>
    <t xml:space="preserve">On-site met towers; nacelle-mounted lidar; DNV/Vestas/AWS TruePower wind assessments; adjacent project SCADA; MERRA-2 reanalysis data</t>
  </si>
  <si>
    <t xml:space="preserve">Minimum one full year of on-site data required for bankable wind model; two years preferred. Validate against long-term reference data.</t>
  </si>
  <si>
    <t xml:space="preserve">Weather Volatility &amp;
Climate Risk Exposure</t>
  </si>
  <si>
    <t xml:space="preserve">Exposure to extreme weather events and climate-related physical risks affecting production and asset integrity.</t>
  </si>
  <si>
    <t xml:space="preserve">Historical extreme event data (hail, hurricanes, icing, floods); climate risk model outputs (physical risk); site-specific damage history; insurance coverage adequacy</t>
  </si>
  <si>
    <t xml:space="preserve">Production downtime from weather events; physical asset damage; insurance gaps; climate change-driven resource degradation</t>
  </si>
  <si>
    <t xml:space="preserve">NOAA storm data; FEMA flood maps; RMS/Verisk climate risk models; Munich Re/Swiss Re peril databases; site insurance assessment</t>
  </si>
  <si>
    <t xml:space="preserve">Environmental / Physical</t>
  </si>
  <si>
    <t xml:space="preserve">Hail risk is emerging material risk for solar; icing risk for wind in northern climates; assess whether insurance covers named-storm BI losses.</t>
  </si>
  <si>
    <t xml:space="preserve">Module / Turbine Degradation
&amp; Long-Term Performance Decay</t>
  </si>
  <si>
    <t xml:space="preserve">Rate and pattern of performance degradation over project life and its impact on long-term revenue projections.</t>
  </si>
  <si>
    <t xml:space="preserve">Manufacturer degradation curves; NREL degradation database benchmarks by climate zone; operational SCADA data from same equipment; LID/PID testing (solar)</t>
  </si>
  <si>
    <t xml:space="preserve">Over-optimistic degradation assumptions inflate IRR; actual degradation &gt;0.7%/yr meaningfully impairs 20-yr revenue</t>
  </si>
  <si>
    <t xml:space="preserve">OEM performance warranties; NREL PV degradation studies; kWh Analytics Solar Risk Assessment; turbine OEM degradation curves; SCADA operational data</t>
  </si>
  <si>
    <t xml:space="preserve">Technical / Financial</t>
  </si>
  <si>
    <t xml:space="preserve">Avoid generic 0.5%/yr assumption; use climate-zone-specific curves. Validate OEM warranty terms vs. degradation rate used in financial model.</t>
  </si>
  <si>
    <t xml:space="preserve">Resource Measurement Campaign
Completeness &amp; Data Quality</t>
  </si>
  <si>
    <t xml:space="preserve">Sufficiency of on-site measurement campaigns in terms of duration, sensor quality, and data recovery rate.</t>
  </si>
  <si>
    <t xml:space="preserve">Measurement campaign duration; data recovery rate (&gt;90% required); sensor calibration records; spatial representativeness of measurement points</t>
  </si>
  <si>
    <t xml:space="preserve">Insufficient data leads to high model uncertainty; lenders may reject or require lower debt sizing</t>
  </si>
  <si>
    <t xml:space="preserve">On-site measurement records; calibration certificates; data recovery logs; independent engineer data quality review</t>
  </si>
  <si>
    <t xml:space="preserve">Technical / Regulatory</t>
  </si>
  <si>
    <t xml:space="preserve">Data recovery rate below 90% requires gap-filling analysis. Independent engineer must validate data quality for project financing.</t>
  </si>
  <si>
    <t xml:space="preserve">  Technical &amp; Construction
(Technical &amp; Execution Risk — TE)</t>
  </si>
  <si>
    <t xml:space="preserve">EPC Contractor Reliability
&amp; Execution Risk</t>
  </si>
  <si>
    <t xml:space="preserve">EPC contractor's financial health, technical competence, safety record, and track record on comparable projects.</t>
  </si>
  <si>
    <t xml:space="preserve">EPC financials (2-yr audited); TRIR safety record; project references (3+ similar); fixed-price vs. cost-plus contract structure; bonding and insurance capacity</t>
  </si>
  <si>
    <t xml:space="preserve">EPC default or abandonment; poor construction quality requiring rework; cost overruns; schedule slippage triggering liquidated damages</t>
  </si>
  <si>
    <t xml:space="preserve">EPC audited financials; OSHA.gov safety statistics; contractor references; surety bond capacity; insurance certificates; recent project completions</t>
  </si>
  <si>
    <t xml:space="preserve">Counterparty / Technical</t>
  </si>
  <si>
    <t xml:space="preserve">Fixed-price EPC with performance guarantees provides best protection. Check for recent financial distress or claims history in renewables sector.</t>
  </si>
  <si>
    <t xml:space="preserve">Equipment Performance &amp;
Technology Risk</t>
  </si>
  <si>
    <t xml:space="preserve">Risk that installed equipment (modules, inverters, turbines, batteries) underperforms nameplate specifications or lacks adequate local service support.</t>
  </si>
  <si>
    <t xml:space="preserve">Module/turbine/inverter performance data; bankability assessment; warranty terms; local O&amp;M service network; spare parts availability; technology maturity (TRL)</t>
  </si>
  <si>
    <t xml:space="preserve">Actual output below nameplate; inverter or turbine model fails to meet energy model assumptions; warranty claims denied by OEM</t>
  </si>
  <si>
    <t xml:space="preserve">OEM performance warranties; independent bankability assessments (DNV, Black &amp; Veatch); factory test reports; PV Evolution Labs (PVEL) scorecards; SCADA from same equipment fleet</t>
  </si>
  <si>
    <t xml:space="preserve">Technical</t>
  </si>
  <si>
    <t xml:space="preserve">Confirm inverter and turbine model has local service support and spare parts. Audit factory test reports. First-of-a-kind technology requires higher risk score.</t>
  </si>
  <si>
    <t xml:space="preserve">Construction Schedule Risk
&amp; Critical Path Analysis</t>
  </si>
  <si>
    <t xml:space="preserve">Likelihood of delays to commercial operation date (COD) from permitting gaps, supply chain disruptions, or weather windows.</t>
  </si>
  <si>
    <t xml:space="preserve">Detailed construction schedule (Primavera P6 or equivalent); identified critical path; transformer/panel delivery lead times; permit status; weather window analysis</t>
  </si>
  <si>
    <t xml:space="preserve">Late COD triggers liquidated damages; delays increase carry cost; delayed revenue start impairs DSCR in early years</t>
  </si>
  <si>
    <t xml:space="preserve">Project schedule; contractor monthly reports; equipment delivery confirmations; permit status from local authority; supply chain tracking</t>
  </si>
  <si>
    <t xml:space="preserve">Technical / Operational</t>
  </si>
  <si>
    <t xml:space="preserve">Critical path is usually grid connection or major electrical equipment delivery. Transformer lead times of 52+ weeks are common risk. Document mitigation.</t>
  </si>
  <si>
    <t xml:space="preserve">Construction Cost Integrity
&amp; Budget Overrun Risk</t>
  </si>
  <si>
    <t xml:space="preserve">Reliability of project budget, contingency adequacy, and exposure to cost escalation or change order inflation.</t>
  </si>
  <si>
    <t xml:space="preserve">Detailed cost breakdown (hard/soft/owner's costs); contingency % (benchmark: 5–10% for solar, 10–15% for wind); change order history; fixed-price contract confirmation</t>
  </si>
  <si>
    <t xml:space="preserve">Overruns erode equity return and may require equity cure or delay COD; contingency exhaustion signals project distress</t>
  </si>
  <si>
    <t xml:space="preserve">EPC budget; quantity surveyor reports; owner's engineer cost review; change order logs; RSMeans/Turner construction cost indices</t>
  </si>
  <si>
    <t xml:space="preserve">Overruns &gt;10% are common for first-of-a-kind sites. Track contingency usage from month 1. Require owner's engineer (OE) monthly cost reports.</t>
  </si>
  <si>
    <t xml:space="preserve">O&amp;M Strategy &amp;
Long-Term Asset Management</t>
  </si>
  <si>
    <t xml:space="preserve">Adequacy of operations and maintenance plan, O&amp;M contractor capability, and long-term asset management framework.</t>
  </si>
  <si>
    <t xml:space="preserve">O&amp;M contract terms (scope, fixed vs. variable fee, performance guarantees); O&amp;M provider track record; SCADA monitoring setup; preventive maintenance schedule</t>
  </si>
  <si>
    <t xml:space="preserve">Poor O&amp;M leads to elevated degradation, availability shortfalls, and warranty voidance; inadequate monitoring masks performance issues</t>
  </si>
  <si>
    <t xml:space="preserve">O&amp;M contract; O&amp;M provider references; SCADA/monitoring system specs; OEM service agreement; independent technical review</t>
  </si>
  <si>
    <t xml:space="preserve">Confirm O&amp;M provider has local presence and 24/7 monitoring capability. SCADA data must be accessible to lender/investor independent engineer.</t>
  </si>
  <si>
    <t xml:space="preserve">  Regulatory &amp; Policy
(Regulatory &amp; External Constraint Risk — RE)</t>
  </si>
  <si>
    <t xml:space="preserve">Interconnection Status
&amp; Grid Access Risk</t>
  </si>
  <si>
    <t xml:space="preserve">Position in interconnection queue, study phase progress, cost estimate certainty, and required network upgrade obligations.</t>
  </si>
  <si>
    <t xml:space="preserve">ISO/RTO queue position; interconnection study phase (feasibility, system impact, facilities); signed interconnection agreement (IA) status; network upgrade cost estimate; FERC Order 2023 compliance</t>
  </si>
  <si>
    <t xml:space="preserve">Projects outside queue or in early study phase may never connect; expensive network upgrades can make projects uneconomic</t>
  </si>
  <si>
    <t xml:space="preserve">ISO/RTO queue data (CAISO, ERCOT, PJM, MISO, SPP, NYISO); signed IA documents; FERC interconnection filings; utility interconnection study reports</t>
  </si>
  <si>
    <t xml:space="preserve">Regulatory / Technical</t>
  </si>
  <si>
    <t xml:space="preserve">Signed IA with known upgrade costs = lower risk. Queue-only position without completed studies = high risk. FERC Order 2023 increased cost accountability.</t>
  </si>
  <si>
    <t xml:space="preserve">Permitting Complexity
&amp; Federal/State Approval Risk</t>
  </si>
  <si>
    <t xml:space="preserve">Number and type of permits required, federal agency involvement, environmental review scope, and approval timeline.</t>
  </si>
  <si>
    <t xml:space="preserve">Permit inventory (federal, state, local); NEPA review scope (CE, EA, or EIS); biological assessment status; Army Corps Section 404; BLM/Forest Service involvement; permit timeline estimate</t>
  </si>
  <si>
    <t xml:space="preserve">Delayed start of construction increases carrying cost; federal NEPA reviews (12–24 months) create material schedule risk; community opposition can block projects</t>
  </si>
  <si>
    <t xml:space="preserve">Permit applications; NEPA documents; BLM/USFS records; state PUC/PSC filings; county/municipal approvals; environmental consultant assessments</t>
  </si>
  <si>
    <t xml:space="preserve">Regulatory / Environmental</t>
  </si>
  <si>
    <t xml:space="preserve">Large solar or wind on federal land requires full NEPA review. Early permit inventory is critical. Section 404 (wetlands) and biological opinions add 6–18 months.</t>
  </si>
  <si>
    <t xml:space="preserve">ITC/PTC Tax Credit
Eligibility &amp; Safe Harbor</t>
  </si>
  <si>
    <t xml:space="preserve">Qualification status for Investment Tax Credit (ITC) or Production Tax Credit (PTC) under the Inflation Reduction Act (IRA), including prevailing wage and apprenticeship requirements.</t>
  </si>
  <si>
    <t xml:space="preserve">Start of construction (5% safe harbor or physical work test) documentation; prevailing wage compliance plan; apprenticeship hours commitment; direct pay election status; IRS Notice 2023-29 compliance</t>
  </si>
  <si>
    <t xml:space="preserve">Partial or full loss of tax credit value due to non-compliance; phase-out risk if construction milestones missed; tax equity investor withdrawal</t>
  </si>
  <si>
    <t xml:space="preserve">Tax counsel opinion letters; IRS guidance (Notices 2023-29, 2023-38); IRA statutory text; DOL prevailing wage determinations; tax equity term sheets</t>
  </si>
  <si>
    <t xml:space="preserve">Tax / Regulatory</t>
  </si>
  <si>
    <t xml:space="preserve">IRA direct pay reduces counterparty risk vs. traditional tax equity flip. Monitor phase-out dates. Prevailing wage failure can reduce credit by 80%.</t>
  </si>
  <si>
    <t xml:space="preserve">Policy Stability &amp;
Renewable Portfolio Standards</t>
  </si>
  <si>
    <t xml:space="preserve">Risk that changes to renewable portfolio standards (RPS), carbon pricing, or federal incentive programs erode project economics.</t>
  </si>
  <si>
    <t xml:space="preserve">State RPS requirements and expiry dates; federal IRA provisions subject to legislative risk; SREC/ZEC/capacity market program stability; state utility commission policy posture</t>
  </si>
  <si>
    <t xml:space="preserve">RPS reduction or expiry lowers PPA prices in merchant markets; federal incentive rollback impairs project finance</t>
  </si>
  <si>
    <t xml:space="preserve">DSIRE (Database of State Incentives for Renewables &amp; Efficiency); LBNL policy reports; NCSL legislative tracking; state PUC proceedings; utility IRPs</t>
  </si>
  <si>
    <t xml:space="preserve">Political / Regulatory</t>
  </si>
  <si>
    <t xml:space="preserve">Short remaining RPS tenor increases merchant exposure risk. Track IRA legislative risk. State-level policy changes often precede federal signals.</t>
  </si>
  <si>
    <t xml:space="preserve">Environmental &amp; Community
Consent Risk</t>
  </si>
  <si>
    <t xml:space="preserve">Risk of community opposition, environmental NGO challenges, or agency findings that delay or block project approvals.</t>
  </si>
  <si>
    <t xml:space="preserve">Community engagement history; environmental impact mitigation commitments; tribal consultation status; visual impact assessments; noise and shadow flicker studies (wind)</t>
  </si>
  <si>
    <t xml:space="preserve">Community opposition triggers permitting delays; ESG litigation from environmental groups; tribal consultation failures can block federal permits</t>
  </si>
  <si>
    <t xml:space="preserve">Community engagement records; tribal consultation documentation; environmental mitigation plan; visual impact study; noise assessment (wind projects)</t>
  </si>
  <si>
    <t xml:space="preserve">Environmental / Social</t>
  </si>
  <si>
    <t xml:space="preserve">Early and documented community engagement reduces risk. Wind projects require shadow flicker and noise assessments. Tribal consultation is legally required for federal projects.</t>
  </si>
  <si>
    <t xml:space="preserve">  Commercial &amp; Financial
(Commercial &amp; Financial Risk — CF)</t>
  </si>
  <si>
    <t xml:space="preserve">PPA / Offtake Contract
Quality &amp; Revenue Certainty</t>
  </si>
  <si>
    <t xml:space="preserve">Quality of power purchase agreement including pricing, term, counterparty, and revenue structure relative to project financing requirements.</t>
  </si>
  <si>
    <t xml:space="preserve">Executed PPA (vs. term sheet); strike price; escalation rate; term length; shape/basis risk provisions; time-of-delivery (TOD) factors; VPPA vs. physical PPA; curtailment provisions</t>
  </si>
  <si>
    <t xml:space="preserve">Revenue below debt service coverage threshold; basis risk on VPPA results in cash shortfall; shape risk from time-of-delivery discounts</t>
  </si>
  <si>
    <t xml:space="preserve">Executed PPA documents; LevelTen Energy broker curves; energy market forward curves (ICE, CME); independent revenue analysis</t>
  </si>
  <si>
    <t xml:space="preserve">Legal / Financial</t>
  </si>
  <si>
    <t xml:space="preserve">Corporate VPPAs entail basis risk (contract node vs. project node); fixed-for-floating structure hedges. Require independent revenue stress test at P90.</t>
  </si>
  <si>
    <t xml:space="preserve">Offtaker Credit Quality
&amp; Counterparty Risk</t>
  </si>
  <si>
    <t xml:space="preserve">Creditworthiness and financial stability of the power purchase agreement counterparty.</t>
  </si>
  <si>
    <t xml:space="preserve">Offtaker credit rating (S&amp;P/Moody's); parent guarantee availability; financial statements (2-yr); payment history; bankruptcy risk; government vs. corporate offtaker</t>
  </si>
  <si>
    <t xml:space="preserve">Offtaker default eliminates contracted revenue; payment delays trigger DSCR covenant breach; unrated counterparty blocks project financing</t>
  </si>
  <si>
    <t xml:space="preserve">S&amp;P/Moody's credit ratings; offtaker financial statements; D&amp;B reports; lender credit approval standards; parent company financials</t>
  </si>
  <si>
    <t xml:space="preserve">Credit / Counterparty</t>
  </si>
  <si>
    <t xml:space="preserve">Investment grade (BBB-/Baa3 or better) required for project financing. Unrated offtaker requires letter of credit or parent guarantee. Government offtaker = lower default risk.</t>
  </si>
  <si>
    <t xml:space="preserve">Capital Stack Integrity
&amp; Funding Certainty</t>
  </si>
  <si>
    <t xml:space="preserve">Certainty of equity and debt commitments, tax equity structure, and absence of funding gaps ahead of commercial operation.</t>
  </si>
  <si>
    <t xml:space="preserve">Signed equity commitment letters; lender term sheets (vs. LOI only); tax equity investor confirmation; sponsor equity availability; funding timeline vs. COD date</t>
  </si>
  <si>
    <t xml:space="preserve">Funding gap before COD forces project delay or distressed financing; tax equity investor withdrawal if ITC/PTC eligibility in question</t>
  </si>
  <si>
    <t xml:space="preserve">Equity commitment letters; lender term sheets; tax equity flip structure documents; sponsor balance sheet; intercreditor agreements</t>
  </si>
  <si>
    <t xml:space="preserve">Financial / Legal</t>
  </si>
  <si>
    <t xml:space="preserve">Tax equity flip structure risk — confirm investor yield, flip date, and back-leverage terms. Distinguish signed term sheets from LOIs.</t>
  </si>
  <si>
    <t xml:space="preserve">Debt Structure &amp;
Debt Service Coverage</t>
  </si>
  <si>
    <t xml:space="preserve">Project debt terms including tenor, DSCR requirements, covenant headroom, and interest rate exposure.</t>
  </si>
  <si>
    <t xml:space="preserve">Loan tenor (target 15–20yr); minimum DSCR covenant (benchmark: 1.25x–1.45x); cash sweep provisions; DSCR sensitivity to P90 scenario and +100bps rate shock; prepayment penalties</t>
  </si>
  <si>
    <t xml:space="preserve">DSCR breach triggers cash trap or default; floating rate debt in rising rate environment compresses cash flow; short tenor requires refinancing</t>
  </si>
  <si>
    <t xml:space="preserve">Loan documents; lender financial model; interest rate cap/swap confirmations; DSCR sensitivity analysis; independent model audit</t>
  </si>
  <si>
    <t xml:space="preserve">Financial</t>
  </si>
  <si>
    <t xml:space="preserve">Run P90 DSCR and +100bps/+200bps rate scenarios. Floating rate debt requires interest rate hedge. DSCR &lt;1.20x at P90 is high risk threshold.</t>
  </si>
  <si>
    <t xml:space="preserve">Merchant Revenue Exposure
&amp; Price Volatility</t>
  </si>
  <si>
    <t xml:space="preserve">Percentage of project revenue exposed to wholesale electricity markets and sensitivity to forward price movements.</t>
  </si>
  <si>
    <t xml:space="preserve">PPA percentage vs. merchant percentage of revenue; forward price curve basis; hedge strategy; natural gas correlation; energy market volatility (historical and implied)</t>
  </si>
  <si>
    <t xml:space="preserve">Cash flow volatility reduces debt capacity; merchant revenue below floor threatens DSCR; negative pricing events destroy uncontracted revenue</t>
  </si>
  <si>
    <t xml:space="preserve">Project revenue model; ICE/CME energy forward curves; ERIS historical price data; ISO LMP data; independent energy market consultant</t>
  </si>
  <si>
    <t xml:space="preserve">Financial / Market</t>
  </si>
  <si>
    <t xml:space="preserve">Fully merchant projects require 12–15% equity return hurdle vs. 6–8% for contracted. Stress test at P10 forward price scenario.</t>
  </si>
  <si>
    <t xml:space="preserve">  Infrastructure &amp; Market
(Infrastructure, Integration &amp; Market Risk — IM)</t>
  </si>
  <si>
    <t xml:space="preserve">Grid Congestion &amp;
Transmission Constraints</t>
  </si>
  <si>
    <t xml:space="preserve">Transmission constraints, binding interface limits, and location-specific congestion affecting realized energy price and curtailment.</t>
  </si>
  <si>
    <t xml:space="preserve">Locational marginal price (LMP) history at project node; congestion component of LMP; ISO congestion studies; load zone basis differential; planned transmission upgrades</t>
  </si>
  <si>
    <t xml:space="preserve">High curtailment (&gt;5%) erodes merchant revenue; negative LMP events destroy uncontracted generation value; basis risk on VPPA expands</t>
  </si>
  <si>
    <t xml:space="preserve">ISO LMP data (CAISO, ERCOT, PJM, MISO); EIA transmission congestion reports; ISO congestion maps; FERC transmission planning proceedings</t>
  </si>
  <si>
    <t xml:space="preserve">Technical / Market</t>
  </si>
  <si>
    <t xml:space="preserve">Curtailment &gt;5% historically in California (CAISO) and Texas (ERCOT). Storage co-location mitigates curtailment risk. Document basis differential analysis.</t>
  </si>
  <si>
    <t xml:space="preserve">Curtailment Risk &amp;
Negative Pricing Events</t>
  </si>
  <si>
    <t xml:space="preserve">Frequency and severity of forced output curtailment from grid operator instructions or negative electricity prices.</t>
  </si>
  <si>
    <t xml:space="preserve">Historical curtailment statistics (ISO/operator data); negative pricing frequency and duration; oversupply forecasts; battery storage co-location potential; PPA curtailment provisions</t>
  </si>
  <si>
    <t xml:space="preserve">Revenue loss from curtailed generation; increased O&amp;M from cycling stress; uncontracted assets fully exposed to negative pricing hours</t>
  </si>
  <si>
    <t xml:space="preserve">CAISO/ERCOT/PJM curtailment statistics; ISO negative pricing event data; project operational history; O&amp;M cycling analysis</t>
  </si>
  <si>
    <t xml:space="preserve">Solar curtailment in CAISO duck curve hours is material. Wind curtailment in ERCOT congested zones is elevated. Document whether PPA includes curtailment make-whole provisions.</t>
  </si>
  <si>
    <t xml:space="preserve">Substation &amp; POI Infrastructure
Readiness</t>
  </si>
  <si>
    <t xml:space="preserve">Status and risk of point-of-interconnection (POI) substation, collector system, and transmission line infrastructure.</t>
  </si>
  <si>
    <t xml:space="preserve">POI substation upgrade scope and cost certainty; collector system design completeness; ownership and maintenance responsibility for interconnection facilities; easements secured</t>
  </si>
  <si>
    <t xml:space="preserve">Substation upgrade cost uncertainty can make project uneconomic; easement gaps block collector system installation; delays in utility-owned upgrades outside sponsor control</t>
  </si>
  <si>
    <t xml:space="preserve">Interconnection agreement facilities schedule; substation engineering design; easement agreements; utility upgrade responsibility assignments</t>
  </si>
  <si>
    <t xml:space="preserve">Technical / Legal</t>
  </si>
  <si>
    <t xml:space="preserve">Utility-owned upgrade delays are outside sponsor control — the most common interconnection risk. Confirm all easements are secured before financial close.</t>
  </si>
  <si>
    <t xml:space="preserve">Market Structure &amp;
Revenue Recognition Risk</t>
  </si>
  <si>
    <t xml:space="preserve">Characteristics of the electricity market structure including capacity market participation, ancillary services revenue, and RECs/environmental attribute value.</t>
  </si>
  <si>
    <t xml:space="preserve">Capacity market participation (PJM/ISO-NE/MISO); ancillary services eligibility; REC market depth and price; state SREC/ZEC program status; energy-only vs. capacity market</t>
  </si>
  <si>
    <t xml:space="preserve">Capacity market rule changes reduce revenue; REC price collapse erodes supplemental revenue; ancillary service ineligibility reduces revenue stack</t>
  </si>
  <si>
    <t xml:space="preserve">ISO capacity market results; REC pricing (SREC Trade, SRECTrade.com); state incentive program status; FERC capacity market proceedings</t>
  </si>
  <si>
    <t xml:space="preserve">Market / Regulatory</t>
  </si>
  <si>
    <t xml:space="preserve">Capacity market revenues provide valuable revenue diversification. REC prices are volatile — do not rely on them for DSCR compliance. Document revenue stack clearly.</t>
  </si>
  <si>
    <t xml:space="preserve">Supply Chain Resilience
&amp; Equipment Procurement Risk</t>
  </si>
  <si>
    <t xml:space="preserve">Exposure to supply chain disruptions, import tariffs, and lead time risks for critical equipment components.</t>
  </si>
  <si>
    <t xml:space="preserve">Equipment sourcing (domestic vs. import); tariff exposure (UFLPA, Section 201/301 tariffs); transformer and inverter lead times; procurement contract status; force majeure provisions</t>
  </si>
  <si>
    <t xml:space="preserve">Tariff changes increase equipment cost post-commitment; long lead times for transformers (52+ weeks) cause COD delays; UFLPA enforcement blocks solar panel imports</t>
  </si>
  <si>
    <t xml:space="preserve">UFLPA Uyghur Forced Labor Prevention Act enforcement list; CBP rulings; equipment delivery confirmations; tariff schedule (USITC); procurement contracts</t>
  </si>
  <si>
    <t xml:space="preserve">Supply Chain / Legal</t>
  </si>
  <si>
    <t xml:space="preserve">UFLPA compliance is critical for solar panel procurement — require supply chain attestation. Transformer lead times are the #1 supply chain risk for large-scale projects.</t>
  </si>
  <si>
    <t xml:space="preserve">TCA Renewables — Project Scoring Calculator</t>
  </si>
  <si>
    <t xml:space="preserve">Project Name:</t>
  </si>
  <si>
    <t xml:space="preserve">Enter project metadata in yellow cells. Stage selection drives domain weights in the composite score calculation. Technology Type (Solar / Wind / Storage / Hybrid) provides context for domain scoring. All fields required under RIA recordkeeping policy.</t>
  </si>
  <si>
    <t xml:space="preserve">Assessment Date:</t>
  </si>
  <si>
    <t xml:space="preserve">Asset Stage:</t>
  </si>
  <si>
    <t xml:space="preserve">Technology Type:</t>
  </si>
  <si>
    <t xml:space="preserve">Analyst:</t>
  </si>
  <si>
    <t xml:space="preserve">Reviewer:</t>
  </si>
  <si>
    <t xml:space="preserve">Assessment ID:</t>
  </si>
  <si>
    <t xml:space="preserve">Domain Score Input — Enter Domain Score (1.0–5.0) per Domain</t>
  </si>
  <si>
    <t xml:space="preserve">Domain (TCA Mapping)</t>
  </si>
  <si>
    <t xml:space="preserve">Code</t>
  </si>
  <si>
    <t xml:space="preserve">Early Dev
Weight</t>
  </si>
  <si>
    <t xml:space="preserve">Construction
Weight</t>
  </si>
  <si>
    <t xml:space="preserve">Operating
Weight</t>
  </si>
  <si>
    <t xml:space="preserve">Domain Score
(1.0–5.0)</t>
  </si>
  <si>
    <t xml:space="preserve">Wtd Score
(Early Dev)</t>
  </si>
  <si>
    <t xml:space="preserve">Wtd Score
(Construction)</t>
  </si>
  <si>
    <t xml:space="preserve">Wtd Score
(Operating)</t>
  </si>
  <si>
    <t xml:space="preserve">Resource &amp; Energy Yield</t>
  </si>
  <si>
    <t xml:space="preserve">FR</t>
  </si>
  <si>
    <t xml:space="preserve">Technical &amp; Construction</t>
  </si>
  <si>
    <t xml:space="preserve">TE</t>
  </si>
  <si>
    <t xml:space="preserve">Regulatory &amp; Policy</t>
  </si>
  <si>
    <t xml:space="preserve">RE</t>
  </si>
  <si>
    <t xml:space="preserve">Commercial &amp; Financial</t>
  </si>
  <si>
    <t xml:space="preserve">CF</t>
  </si>
  <si>
    <t xml:space="preserve">Infrastructure &amp; Market</t>
  </si>
  <si>
    <t xml:space="preserve">IM</t>
  </si>
  <si>
    <t xml:space="preserve">Composite TCA Risk Score</t>
  </si>
  <si>
    <t xml:space="preserve">Early Development Score</t>
  </si>
  <si>
    <t xml:space="preserve">Construction Score</t>
  </si>
  <si>
    <t xml:space="preserve">Operating Score</t>
  </si>
  <si>
    <t xml:space="preserve">⚠  RIA RECORDKEEPING NOTICE (SEC Rule 204-2):  This scoring record, including analyst inputs, domain weights applied, composite score, and evidence references, constitutes a research record of TokenCap Advisors LLC. It must be retained for a minimum of five (5) years in an immutable, reproducible format. Analyst and Reviewer fields above must be completed. Once approved, scores must not be altered without documented CRO authorization and version logging.</t>
  </si>
  <si>
    <t xml:space="preserve">TCA Renewables Risk Framework  |  Audit &amp; RIA Compliance Log</t>
  </si>
  <si>
    <t xml:space="preserve">This log records all assessment activities performed using this framework. It constitutes a Books &amp; Records artifact under SEC Rule 204-2 (17 CFR § 275.204-2). Entries must be made contemporaneously. Records must be retained for a minimum of five (5) years in an immutable, reproducible format accessible to regulators upon request. Alteration of completed entries is prohibited.</t>
  </si>
  <si>
    <t xml:space="preserve">Log
#</t>
  </si>
  <si>
    <t xml:space="preserve">Assessment ID</t>
  </si>
  <si>
    <t xml:space="preserve">Project Name</t>
  </si>
  <si>
    <t xml:space="preserve">Date</t>
  </si>
  <si>
    <t xml:space="preserve">Analyst</t>
  </si>
  <si>
    <t xml:space="preserve">Reviewer</t>
  </si>
  <si>
    <t xml:space="preserve">Approved
Date</t>
  </si>
  <si>
    <t xml:space="preserve">Stage
Applied</t>
  </si>
  <si>
    <t xml:space="preserve">Technology
Type</t>
  </si>
  <si>
    <t xml:space="preserve">Composite
Score</t>
  </si>
  <si>
    <t xml:space="preserve">Evidence Ref &amp;
Record Location</t>
  </si>
  <si>
    <t xml:space="preserve">Methodology Version Control Log</t>
  </si>
  <si>
    <t xml:space="preserve">Version</t>
  </si>
  <si>
    <t xml:space="preserve">Effective Date</t>
  </si>
  <si>
    <t xml:space="preserve">Change Description</t>
  </si>
  <si>
    <t xml:space="preserve">Approved By</t>
  </si>
  <si>
    <t xml:space="preserve">CRO Sign Date</t>
  </si>
  <si>
    <t xml:space="preserve">2026</t>
  </si>
  <si>
    <t xml:space="preserve">Initial release — TCA Intelligence Framework</t>
  </si>
  <si>
    <t xml:space="preserve">CRO</t>
  </si>
  <si>
    <t xml:space="preserve">[Date]</t>
  </si>
</sst>
</file>

<file path=xl/styles.xml><?xml version="1.0" encoding="utf-8"?>
<styleSheet xmlns="http://schemas.openxmlformats.org/spreadsheetml/2006/main">
  <numFmts count="3">
    <numFmt numFmtId="164" formatCode="General"/>
    <numFmt numFmtId="165" formatCode="0%"/>
    <numFmt numFmtId="166" formatCode="0.00"/>
  </numFmts>
  <fonts count="28">
    <font>
      <sz val="11"/>
      <color theme="1"/>
      <name val="Calibri"/>
      <family val="2"/>
      <charset val="1"/>
    </font>
    <font>
      <sz val="10"/>
      <name val="Arial"/>
      <family val="0"/>
    </font>
    <font>
      <sz val="10"/>
      <name val="Arial"/>
      <family val="0"/>
    </font>
    <font>
      <sz val="10"/>
      <name val="Arial"/>
      <family val="0"/>
    </font>
    <font>
      <b val="true"/>
      <sz val="16"/>
      <color rgb="FFC9A84C"/>
      <name val="Arial"/>
      <family val="0"/>
      <charset val="1"/>
    </font>
    <font>
      <b val="true"/>
      <sz val="13"/>
      <color rgb="FFFFFFFF"/>
      <name val="Arial"/>
      <family val="0"/>
      <charset val="1"/>
    </font>
    <font>
      <sz val="9"/>
      <color rgb="FF7F7F7F"/>
      <name val="Arial"/>
      <family val="0"/>
      <charset val="1"/>
    </font>
    <font>
      <b val="true"/>
      <sz val="10"/>
      <color rgb="FF1F2D54"/>
      <name val="Arial"/>
      <family val="0"/>
      <charset val="1"/>
    </font>
    <font>
      <sz val="9"/>
      <color rgb="FF404040"/>
      <name val="Arial"/>
      <family val="0"/>
      <charset val="1"/>
    </font>
    <font>
      <b val="true"/>
      <sz val="9"/>
      <color rgb="FF1F2D54"/>
      <name val="Arial"/>
      <family val="0"/>
      <charset val="1"/>
    </font>
    <font>
      <b val="true"/>
      <sz val="9"/>
      <color rgb="FFFFFFFF"/>
      <name val="Arial"/>
      <family val="0"/>
      <charset val="1"/>
    </font>
    <font>
      <sz val="9"/>
      <color rgb="FF1F2D54"/>
      <name val="Arial"/>
      <family val="0"/>
      <charset val="1"/>
    </font>
    <font>
      <sz val="8"/>
      <color rgb="FFC00000"/>
      <name val="Arial"/>
      <family val="0"/>
      <charset val="1"/>
    </font>
    <font>
      <b val="true"/>
      <sz val="12"/>
      <color rgb="FFFFFFFF"/>
      <name val="Arial"/>
      <family val="0"/>
      <charset val="1"/>
    </font>
    <font>
      <i val="true"/>
      <sz val="8"/>
      <color rgb="FF7F7F7F"/>
      <name val="Arial"/>
      <family val="0"/>
      <charset val="1"/>
    </font>
    <font>
      <b val="true"/>
      <sz val="9"/>
      <color rgb="FF404040"/>
      <name val="Arial"/>
      <family val="0"/>
      <charset val="1"/>
    </font>
    <font>
      <sz val="9"/>
      <color rgb="FF0000FF"/>
      <name val="Arial"/>
      <family val="0"/>
      <charset val="1"/>
    </font>
    <font>
      <i val="true"/>
      <sz val="8"/>
      <color rgb="FFC9A84C"/>
      <name val="Arial"/>
      <family val="0"/>
      <charset val="1"/>
    </font>
    <font>
      <sz val="7.5"/>
      <color rgb="FFFFFFFF"/>
      <name val="Arial"/>
      <family val="0"/>
      <charset val="1"/>
    </font>
    <font>
      <b val="true"/>
      <sz val="8"/>
      <color rgb="FFFFFFFF"/>
      <name val="Arial"/>
      <family val="0"/>
      <charset val="1"/>
    </font>
    <font>
      <b val="true"/>
      <sz val="10"/>
      <color rgb="FFFFFFFF"/>
      <name val="Arial"/>
      <family val="0"/>
      <charset val="1"/>
    </font>
    <font>
      <sz val="8"/>
      <color rgb="FF404040"/>
      <name val="Arial"/>
      <family val="0"/>
      <charset val="1"/>
    </font>
    <font>
      <sz val="9"/>
      <color rgb="FF000000"/>
      <name val="Arial"/>
      <family val="0"/>
      <charset val="1"/>
    </font>
    <font>
      <i val="true"/>
      <sz val="7"/>
      <color rgb="FF7F7F7F"/>
      <name val="Arial"/>
      <family val="0"/>
      <charset val="1"/>
    </font>
    <font>
      <b val="true"/>
      <sz val="10"/>
      <color rgb="FF0000FF"/>
      <name val="Arial"/>
      <family val="0"/>
      <charset val="1"/>
    </font>
    <font>
      <b val="true"/>
      <sz val="11"/>
      <color rgb="FF1F2D54"/>
      <name val="Arial"/>
      <family val="0"/>
      <charset val="1"/>
    </font>
    <font>
      <i val="true"/>
      <sz val="8"/>
      <color rgb="FFC00000"/>
      <name val="Arial"/>
      <family val="0"/>
      <charset val="1"/>
    </font>
    <font>
      <sz val="8"/>
      <color rgb="FF0000FF"/>
      <name val="Arial"/>
      <family val="0"/>
      <charset val="1"/>
    </font>
  </fonts>
  <fills count="14">
    <fill>
      <patternFill patternType="none"/>
    </fill>
    <fill>
      <patternFill patternType="gray125"/>
    </fill>
    <fill>
      <patternFill patternType="solid">
        <fgColor rgb="FF1F2D54"/>
        <bgColor rgb="FF404040"/>
      </patternFill>
    </fill>
    <fill>
      <patternFill patternType="solid">
        <fgColor rgb="FFF2F2F2"/>
        <bgColor rgb="FFEDE7F6"/>
      </patternFill>
    </fill>
    <fill>
      <patternFill patternType="solid">
        <fgColor rgb="FFFFFFFF"/>
        <bgColor rgb="FFF2F2F2"/>
      </patternFill>
    </fill>
    <fill>
      <patternFill patternType="solid">
        <fgColor rgb="FF1F4E79"/>
        <bgColor rgb="FF1F2D54"/>
      </patternFill>
    </fill>
    <fill>
      <patternFill patternType="solid">
        <fgColor rgb="FFDEEAF1"/>
        <bgColor rgb="FFEDE7F6"/>
      </patternFill>
    </fill>
    <fill>
      <patternFill patternType="solid">
        <fgColor rgb="FFE2EFDA"/>
        <bgColor rgb="FFDEEAF1"/>
      </patternFill>
    </fill>
    <fill>
      <patternFill patternType="solid">
        <fgColor rgb="FFFFF2CC"/>
        <bgColor rgb="FFFFFACD"/>
      </patternFill>
    </fill>
    <fill>
      <patternFill patternType="solid">
        <fgColor rgb="FFFCE4D6"/>
        <bgColor rgb="FFFFF2CC"/>
      </patternFill>
    </fill>
    <fill>
      <patternFill patternType="solid">
        <fgColor rgb="FFEDE7F6"/>
        <bgColor rgb="FFDEEAF1"/>
      </patternFill>
    </fill>
    <fill>
      <patternFill patternType="solid">
        <fgColor rgb="FF404040"/>
        <bgColor rgb="FF1F2D54"/>
      </patternFill>
    </fill>
    <fill>
      <patternFill patternType="solid">
        <fgColor rgb="FFFFFACD"/>
        <bgColor rgb="FFFFF2CC"/>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5" fontId="16" fillId="6"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5" fontId="16" fillId="7"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5" fontId="16"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5" fontId="16"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center" vertical="bottom"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18" fillId="11" borderId="0"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left"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left" vertical="top" textRotation="0" wrapText="true" indent="0" shrinkToFit="false"/>
      <protection locked="true" hidden="false"/>
    </xf>
    <xf numFmtId="164" fontId="21" fillId="7" borderId="1" xfId="0" applyFont="true" applyBorder="true" applyAlignment="true" applyProtection="false">
      <alignment horizontal="left" vertical="top" textRotation="0" wrapText="tru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left" vertical="top" textRotation="0" wrapText="true" indent="0" shrinkToFit="false"/>
      <protection locked="true" hidden="false"/>
    </xf>
    <xf numFmtId="164" fontId="22" fillId="8"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left" vertical="top" textRotation="0" wrapText="true" indent="0" shrinkToFit="false"/>
      <protection locked="true" hidden="false"/>
    </xf>
    <xf numFmtId="164" fontId="22" fillId="9" borderId="1" xfId="0" applyFont="true" applyBorder="true" applyAlignment="true" applyProtection="false">
      <alignment horizontal="center" vertical="center" textRotation="0" wrapText="false" indent="0" shrinkToFit="false"/>
      <protection locked="true" hidden="false"/>
    </xf>
    <xf numFmtId="164" fontId="21" fillId="10" borderId="1" xfId="0" applyFont="true" applyBorder="true" applyAlignment="true" applyProtection="false">
      <alignment horizontal="left" vertical="top" textRotation="0" wrapText="true" indent="0" shrinkToFit="false"/>
      <protection locked="true" hidden="false"/>
    </xf>
    <xf numFmtId="164" fontId="22" fillId="1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20" fillId="5" borderId="0"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24" fillId="13" borderId="1" xfId="0" applyFont="true" applyBorder="true" applyAlignment="true" applyProtection="false">
      <alignment horizontal="center" vertical="center" textRotation="0" wrapText="false" indent="0" shrinkToFit="false"/>
      <protection locked="true" hidden="false"/>
    </xf>
    <xf numFmtId="166" fontId="22" fillId="6"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6" fontId="22" fillId="7"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5" fontId="8" fillId="8" borderId="1" xfId="0" applyFont="true" applyBorder="true" applyAlignment="true" applyProtection="false">
      <alignment horizontal="center" vertical="center" textRotation="0" wrapText="false" indent="0" shrinkToFit="false"/>
      <protection locked="true" hidden="false"/>
    </xf>
    <xf numFmtId="166" fontId="22" fillId="8"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5" fontId="8" fillId="9" borderId="1" xfId="0" applyFont="true" applyBorder="true" applyAlignment="true" applyProtection="false">
      <alignment horizontal="center" vertical="center" textRotation="0" wrapText="false" indent="0" shrinkToFit="false"/>
      <protection locked="true" hidden="false"/>
    </xf>
    <xf numFmtId="166" fontId="22" fillId="9" borderId="1" xfId="0" applyFont="true" applyBorder="true" applyAlignment="true" applyProtection="false">
      <alignment horizontal="center" vertical="bottom"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5" fontId="8" fillId="10" borderId="1" xfId="0" applyFont="true" applyBorder="true" applyAlignment="true" applyProtection="false">
      <alignment horizontal="center" vertical="center" textRotation="0" wrapText="false" indent="0" shrinkToFit="false"/>
      <protection locked="true" hidden="false"/>
    </xf>
    <xf numFmtId="166" fontId="22" fillId="10"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6" fontId="25" fillId="3" borderId="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7" fillId="3" borderId="1" xfId="0" applyFont="true" applyBorder="true" applyAlignment="false" applyProtection="false">
      <alignment horizontal="general" vertical="bottom" textRotation="0" wrapText="false" indent="0" shrinkToFit="false"/>
      <protection locked="true" hidden="false"/>
    </xf>
    <xf numFmtId="164" fontId="27" fillId="4" borderId="1" xfId="0" applyFont="true" applyBorder="true" applyAlignment="false" applyProtection="false">
      <alignment horizontal="general" vertical="bottom" textRotation="0" wrapText="false" indent="0" shrinkToFit="false"/>
      <protection locked="true" hidden="false"/>
    </xf>
    <xf numFmtId="164" fontId="20" fillId="11" borderId="0"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true" applyProtection="false">
      <alignment horizontal="center" vertical="bottom" textRotation="0" wrapText="true" indent="0" shrinkToFit="false"/>
      <protection locked="true" hidden="false"/>
    </xf>
    <xf numFmtId="164" fontId="21"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ACD"/>
      <rgbColor rgb="FFDEEAF1"/>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CE4D6"/>
      <rgbColor rgb="FF3366FF"/>
      <rgbColor rgb="FF33CCCC"/>
      <rgbColor rgb="FF99CC00"/>
      <rgbColor rgb="FFFFCC00"/>
      <rgbColor rgb="FFFF9900"/>
      <rgbColor rgb="FFFF6600"/>
      <rgbColor rgb="FF666699"/>
      <rgbColor rgb="FFC9A84C"/>
      <rgbColor rgb="FF1F2D54"/>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3" min="3" style="0" width="28"/>
  </cols>
  <sheetData>
    <row r="1" customFormat="false" ht="15" hidden="false" customHeight="false" outlineLevel="0" collapsed="false">
      <c r="A1" s="1"/>
      <c r="B1" s="1"/>
      <c r="C1" s="1"/>
    </row>
    <row r="2" customFormat="false" ht="15" hidden="false" customHeight="false" outlineLevel="0" collapsed="false">
      <c r="A2" s="1"/>
      <c r="B2" s="1"/>
      <c r="C2" s="1"/>
    </row>
    <row r="3" customFormat="false" ht="27.75" hidden="false" customHeight="true" outlineLevel="0" collapsed="false">
      <c r="A3" s="1"/>
      <c r="B3" s="2" t="s">
        <v>0</v>
      </c>
      <c r="C3" s="1"/>
    </row>
    <row r="4" customFormat="false" ht="16.15" hidden="false" customHeight="false" outlineLevel="0" collapsed="false">
      <c r="A4" s="1"/>
      <c r="B4" s="3" t="s">
        <v>1</v>
      </c>
      <c r="C4" s="1"/>
    </row>
    <row r="5" customFormat="false" ht="15" hidden="false" customHeight="false" outlineLevel="0" collapsed="false">
      <c r="A5" s="1"/>
      <c r="B5" s="4" t="s">
        <v>2</v>
      </c>
      <c r="C5" s="1"/>
    </row>
    <row r="6" customFormat="false" ht="15" hidden="false" customHeight="false" outlineLevel="0" collapsed="false">
      <c r="A6" s="1"/>
      <c r="B6" s="1"/>
      <c r="C6" s="1"/>
    </row>
    <row r="8" customFormat="false" ht="15" hidden="false" customHeight="false" outlineLevel="0" collapsed="false">
      <c r="B8" s="5" t="s">
        <v>3</v>
      </c>
    </row>
    <row r="9" customFormat="false" ht="74.6" hidden="false" customHeight="false" outlineLevel="0" collapsed="false">
      <c r="B9" s="6" t="s">
        <v>4</v>
      </c>
    </row>
    <row r="12" customFormat="false" ht="18" hidden="false" customHeight="true" outlineLevel="0" collapsed="false">
      <c r="B12" s="7" t="s">
        <v>5</v>
      </c>
      <c r="C12" s="6" t="s">
        <v>6</v>
      </c>
    </row>
    <row r="13" customFormat="false" ht="18" hidden="false" customHeight="true" outlineLevel="0" collapsed="false">
      <c r="B13" s="7" t="s">
        <v>7</v>
      </c>
      <c r="C13" s="6" t="s">
        <v>8</v>
      </c>
    </row>
    <row r="14" customFormat="false" ht="18" hidden="false" customHeight="true" outlineLevel="0" collapsed="false">
      <c r="B14" s="7" t="s">
        <v>9</v>
      </c>
      <c r="C14" s="6" t="s">
        <v>10</v>
      </c>
    </row>
    <row r="15" customFormat="false" ht="18" hidden="false" customHeight="true" outlineLevel="0" collapsed="false">
      <c r="B15" s="7" t="s">
        <v>11</v>
      </c>
      <c r="C15" s="6" t="s">
        <v>12</v>
      </c>
    </row>
    <row r="16" customFormat="false" ht="18" hidden="false" customHeight="true" outlineLevel="0" collapsed="false">
      <c r="B16" s="7" t="s">
        <v>13</v>
      </c>
      <c r="C16" s="6" t="s">
        <v>14</v>
      </c>
    </row>
    <row r="17" customFormat="false" ht="18" hidden="false" customHeight="true" outlineLevel="0" collapsed="false">
      <c r="B17" s="7" t="s">
        <v>15</v>
      </c>
      <c r="C17" s="6" t="s">
        <v>16</v>
      </c>
    </row>
    <row r="18" customFormat="false" ht="18" hidden="false" customHeight="true" outlineLevel="0" collapsed="false">
      <c r="B18" s="7" t="s">
        <v>17</v>
      </c>
      <c r="C18" s="6" t="s">
        <v>18</v>
      </c>
    </row>
    <row r="19" customFormat="false" ht="18" hidden="false" customHeight="true" outlineLevel="0" collapsed="false">
      <c r="B19" s="7" t="s">
        <v>19</v>
      </c>
      <c r="C19" s="6" t="s">
        <v>20</v>
      </c>
    </row>
    <row r="22" customFormat="false" ht="15" hidden="false" customHeight="false" outlineLevel="0" collapsed="false">
      <c r="B22" s="5" t="s">
        <v>21</v>
      </c>
    </row>
    <row r="23" customFormat="false" ht="18" hidden="false" customHeight="true" outlineLevel="0" collapsed="false">
      <c r="B23" s="8" t="s">
        <v>22</v>
      </c>
      <c r="C23" s="8" t="s">
        <v>23</v>
      </c>
    </row>
    <row r="24" customFormat="false" ht="18" hidden="false" customHeight="true" outlineLevel="0" collapsed="false">
      <c r="B24" s="9" t="s">
        <v>24</v>
      </c>
      <c r="C24" s="10" t="s">
        <v>25</v>
      </c>
    </row>
    <row r="25" customFormat="false" ht="18" hidden="false" customHeight="true" outlineLevel="0" collapsed="false">
      <c r="B25" s="9" t="s">
        <v>26</v>
      </c>
      <c r="C25" s="10" t="s">
        <v>27</v>
      </c>
    </row>
    <row r="26" customFormat="false" ht="18" hidden="false" customHeight="true" outlineLevel="0" collapsed="false">
      <c r="B26" s="9" t="s">
        <v>28</v>
      </c>
      <c r="C26" s="10" t="s">
        <v>29</v>
      </c>
    </row>
    <row r="27" customFormat="false" ht="18" hidden="false" customHeight="true" outlineLevel="0" collapsed="false">
      <c r="B27" s="9" t="s">
        <v>30</v>
      </c>
      <c r="C27" s="10" t="s">
        <v>31</v>
      </c>
    </row>
    <row r="28" customFormat="false" ht="18" hidden="false" customHeight="true" outlineLevel="0" collapsed="false">
      <c r="B28" s="9" t="s">
        <v>32</v>
      </c>
      <c r="C28" s="10" t="s">
        <v>33</v>
      </c>
    </row>
    <row r="31" customFormat="false" ht="37.3" hidden="false" customHeight="false" outlineLevel="0" collapsed="false">
      <c r="B31" s="11"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6" min="3" style="0" width="16"/>
    <col collapsed="false" customWidth="true" hidden="false" outlineLevel="0" max="7" min="7" style="0" width="48"/>
  </cols>
  <sheetData>
    <row r="2" customFormat="false" ht="25.5" hidden="false" customHeight="true" outlineLevel="0" collapsed="false">
      <c r="B2" s="12" t="s">
        <v>35</v>
      </c>
      <c r="C2" s="12"/>
      <c r="D2" s="12"/>
      <c r="E2" s="12"/>
      <c r="F2" s="12"/>
      <c r="G2" s="12"/>
    </row>
    <row r="3" customFormat="false" ht="27.75" hidden="false" customHeight="true" outlineLevel="0" collapsed="false">
      <c r="B3" s="13" t="s">
        <v>36</v>
      </c>
      <c r="C3" s="13"/>
      <c r="D3" s="13"/>
      <c r="E3" s="13"/>
      <c r="F3" s="13"/>
      <c r="G3" s="13"/>
    </row>
    <row r="5" customFormat="false" ht="36" hidden="false" customHeight="true" outlineLevel="0" collapsed="false">
      <c r="B5" s="14" t="s">
        <v>37</v>
      </c>
      <c r="C5" s="14" t="s">
        <v>38</v>
      </c>
      <c r="D5" s="14" t="s">
        <v>39</v>
      </c>
      <c r="E5" s="14" t="s">
        <v>40</v>
      </c>
      <c r="F5" s="14" t="s">
        <v>41</v>
      </c>
    </row>
    <row r="6" customFormat="false" ht="37.5" hidden="false" customHeight="true" outlineLevel="0" collapsed="false">
      <c r="B6" s="15" t="s">
        <v>42</v>
      </c>
      <c r="C6" s="16" t="n">
        <v>0.35</v>
      </c>
      <c r="D6" s="16" t="n">
        <v>0.15</v>
      </c>
      <c r="E6" s="16" t="n">
        <v>0.1</v>
      </c>
      <c r="F6" s="17" t="s">
        <v>43</v>
      </c>
    </row>
    <row r="7" customFormat="false" ht="37.5" hidden="false" customHeight="true" outlineLevel="0" collapsed="false">
      <c r="B7" s="18" t="s">
        <v>44</v>
      </c>
      <c r="C7" s="19" t="n">
        <v>0.15</v>
      </c>
      <c r="D7" s="19" t="n">
        <v>0.35</v>
      </c>
      <c r="E7" s="19" t="n">
        <v>0.2</v>
      </c>
      <c r="F7" s="17" t="s">
        <v>45</v>
      </c>
    </row>
    <row r="8" customFormat="false" ht="37.5" hidden="false" customHeight="true" outlineLevel="0" collapsed="false">
      <c r="B8" s="20" t="s">
        <v>46</v>
      </c>
      <c r="C8" s="21" t="n">
        <v>0.25</v>
      </c>
      <c r="D8" s="21" t="n">
        <v>0.15</v>
      </c>
      <c r="E8" s="21" t="n">
        <v>0.15</v>
      </c>
      <c r="F8" s="17" t="s">
        <v>47</v>
      </c>
    </row>
    <row r="9" customFormat="false" ht="37.5" hidden="false" customHeight="true" outlineLevel="0" collapsed="false">
      <c r="B9" s="22" t="s">
        <v>48</v>
      </c>
      <c r="C9" s="23" t="n">
        <v>0.15</v>
      </c>
      <c r="D9" s="23" t="n">
        <v>0.2</v>
      </c>
      <c r="E9" s="23" t="n">
        <v>0.3</v>
      </c>
      <c r="F9" s="17" t="s">
        <v>49</v>
      </c>
    </row>
    <row r="10" customFormat="false" ht="37.5" hidden="false" customHeight="true" outlineLevel="0" collapsed="false">
      <c r="B10" s="24" t="s">
        <v>50</v>
      </c>
      <c r="C10" s="25" t="n">
        <v>0.1</v>
      </c>
      <c r="D10" s="25" t="n">
        <v>0.15</v>
      </c>
      <c r="E10" s="25" t="n">
        <v>0.25</v>
      </c>
      <c r="F10" s="17" t="s">
        <v>51</v>
      </c>
    </row>
    <row r="11" customFormat="false" ht="18" hidden="false" customHeight="true" outlineLevel="0" collapsed="false">
      <c r="B11" s="26" t="s">
        <v>52</v>
      </c>
      <c r="C11" s="27" t="n">
        <f aca="false">SUM(C6:C10)</f>
        <v>1</v>
      </c>
      <c r="D11" s="27" t="n">
        <f aca="false">SUM(D6:D10)</f>
        <v>1</v>
      </c>
      <c r="E11" s="27" t="n">
        <f aca="false">SUM(E6:E10)</f>
        <v>1</v>
      </c>
    </row>
  </sheetData>
  <mergeCells count="2">
    <mergeCell ref="B2:G2"/>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30"/>
    <col collapsed="false" customWidth="true" hidden="false" outlineLevel="0" max="4" min="4" style="0" width="28"/>
    <col collapsed="false" customWidth="true" hidden="false" outlineLevel="0" max="6" min="5" style="0" width="38"/>
    <col collapsed="false" customWidth="true" hidden="false" outlineLevel="0" max="8" min="7" style="0" width="22"/>
    <col collapsed="false" customWidth="true" hidden="false" outlineLevel="0" max="11" min="9" style="0" width="10"/>
    <col collapsed="false" customWidth="true" hidden="false" outlineLevel="0" max="13" min="12" style="0" width="12"/>
    <col collapsed="false" customWidth="true" hidden="false" outlineLevel="0" max="14" min="14" style="0" width="28"/>
    <col collapsed="false" customWidth="true" hidden="false" outlineLevel="0" max="15" min="15" style="0" width="32"/>
  </cols>
  <sheetData>
    <row r="2" customFormat="false" ht="25.5" hidden="false" customHeight="true" outlineLevel="0" collapsed="false">
      <c r="B2" s="12" t="s">
        <v>53</v>
      </c>
      <c r="C2" s="12"/>
      <c r="D2" s="12"/>
      <c r="E2" s="12"/>
      <c r="F2" s="12"/>
      <c r="G2" s="12"/>
      <c r="H2" s="12"/>
      <c r="I2" s="12"/>
      <c r="J2" s="12"/>
      <c r="K2" s="12"/>
      <c r="L2" s="12"/>
      <c r="M2" s="12"/>
      <c r="N2" s="12"/>
      <c r="O2" s="12"/>
    </row>
    <row r="3" customFormat="false" ht="15.75" hidden="false" customHeight="true" outlineLevel="0" collapsed="false">
      <c r="B3" s="28" t="s">
        <v>54</v>
      </c>
      <c r="C3" s="28"/>
      <c r="D3" s="28"/>
      <c r="E3" s="28"/>
      <c r="F3" s="28"/>
      <c r="G3" s="28"/>
      <c r="H3" s="28"/>
      <c r="I3" s="28"/>
      <c r="J3" s="28"/>
      <c r="K3" s="28"/>
      <c r="L3" s="28"/>
      <c r="M3" s="28"/>
      <c r="N3" s="28"/>
      <c r="O3" s="28"/>
    </row>
    <row r="4" customFormat="false" ht="21.75" hidden="false" customHeight="true" outlineLevel="0" collapsed="false">
      <c r="B4" s="29" t="s">
        <v>55</v>
      </c>
      <c r="C4" s="29"/>
      <c r="D4" s="29"/>
      <c r="E4" s="29"/>
      <c r="F4" s="29"/>
      <c r="G4" s="29"/>
      <c r="H4" s="29"/>
      <c r="I4" s="29"/>
      <c r="J4" s="29"/>
      <c r="K4" s="29"/>
      <c r="L4" s="29"/>
      <c r="M4" s="29"/>
      <c r="N4" s="29"/>
      <c r="O4" s="29"/>
    </row>
    <row r="6" customFormat="false" ht="49.5" hidden="false" customHeight="true" outlineLevel="0" collapsed="false">
      <c r="B6" s="30" t="s">
        <v>56</v>
      </c>
      <c r="C6" s="30" t="s">
        <v>57</v>
      </c>
      <c r="D6" s="30" t="s">
        <v>58</v>
      </c>
      <c r="E6" s="30" t="s">
        <v>59</v>
      </c>
      <c r="F6" s="30" t="s">
        <v>60</v>
      </c>
      <c r="G6" s="30" t="s">
        <v>61</v>
      </c>
      <c r="H6" s="30" t="s">
        <v>62</v>
      </c>
      <c r="I6" s="30" t="s">
        <v>63</v>
      </c>
      <c r="J6" s="30" t="s">
        <v>64</v>
      </c>
      <c r="K6" s="30" t="s">
        <v>65</v>
      </c>
      <c r="L6" s="30" t="s">
        <v>66</v>
      </c>
      <c r="M6" s="30" t="s">
        <v>67</v>
      </c>
      <c r="N6" s="30" t="s">
        <v>68</v>
      </c>
      <c r="O6" s="30" t="s">
        <v>69</v>
      </c>
      <c r="P6" s="30" t="s">
        <v>70</v>
      </c>
    </row>
    <row r="7" customFormat="false" ht="27.75" hidden="false" customHeight="true" outlineLevel="0" collapsed="false">
      <c r="B7" s="31" t="s">
        <v>71</v>
      </c>
      <c r="C7" s="31"/>
      <c r="D7" s="31"/>
      <c r="E7" s="31"/>
      <c r="F7" s="31"/>
      <c r="G7" s="31"/>
      <c r="H7" s="31"/>
      <c r="I7" s="31"/>
      <c r="J7" s="31"/>
      <c r="K7" s="31"/>
      <c r="L7" s="31"/>
      <c r="M7" s="31"/>
      <c r="N7" s="31"/>
      <c r="O7" s="31"/>
    </row>
    <row r="8" customFormat="false" ht="64.5" hidden="false" customHeight="true" outlineLevel="0" collapsed="false">
      <c r="B8" s="32" t="n">
        <v>1</v>
      </c>
      <c r="C8" s="33"/>
      <c r="D8" s="33" t="s">
        <v>72</v>
      </c>
      <c r="E8" s="33" t="s">
        <v>73</v>
      </c>
      <c r="F8" s="33" t="s">
        <v>74</v>
      </c>
      <c r="G8" s="33" t="s">
        <v>75</v>
      </c>
      <c r="H8" s="33" t="s">
        <v>76</v>
      </c>
      <c r="I8" s="33" t="s">
        <v>77</v>
      </c>
      <c r="J8" s="34"/>
      <c r="K8" s="34"/>
      <c r="L8" s="35" t="str">
        <f aca="false">IF(AND(ISNUMBER(J8),ISNUMBER(K8)),J8*K8,"")</f>
        <v/>
      </c>
      <c r="M8" s="34"/>
      <c r="N8" s="35" t="str">
        <f aca="false">IF(AND(ISNUMBER(K8),ISNUMBER(L8),L8&lt;&gt;0),K8/L8,"")</f>
        <v/>
      </c>
      <c r="O8" s="33" t="s">
        <v>78</v>
      </c>
      <c r="P8" s="36" t="s">
        <v>79</v>
      </c>
    </row>
    <row r="9" customFormat="false" ht="64.5" hidden="false" customHeight="true" outlineLevel="0" collapsed="false">
      <c r="B9" s="32" t="n">
        <v>2</v>
      </c>
      <c r="C9" s="33"/>
      <c r="D9" s="33" t="s">
        <v>80</v>
      </c>
      <c r="E9" s="33" t="s">
        <v>81</v>
      </c>
      <c r="F9" s="33" t="s">
        <v>82</v>
      </c>
      <c r="G9" s="33" t="s">
        <v>83</v>
      </c>
      <c r="H9" s="33" t="s">
        <v>84</v>
      </c>
      <c r="I9" s="33" t="s">
        <v>77</v>
      </c>
      <c r="J9" s="34"/>
      <c r="K9" s="34"/>
      <c r="L9" s="35" t="str">
        <f aca="false">IF(AND(ISNUMBER(J9),ISNUMBER(K9)),J9*K9,"")</f>
        <v/>
      </c>
      <c r="M9" s="34"/>
      <c r="N9" s="35" t="str">
        <f aca="false">IF(AND(ISNUMBER(K9),ISNUMBER(L9),L9&lt;&gt;0),K9/L9,"")</f>
        <v/>
      </c>
      <c r="O9" s="33" t="s">
        <v>85</v>
      </c>
      <c r="P9" s="36" t="s">
        <v>79</v>
      </c>
    </row>
    <row r="10" customFormat="false" ht="64.5" hidden="false" customHeight="true" outlineLevel="0" collapsed="false">
      <c r="B10" s="32" t="n">
        <v>3</v>
      </c>
      <c r="C10" s="33"/>
      <c r="D10" s="33" t="s">
        <v>86</v>
      </c>
      <c r="E10" s="33" t="s">
        <v>87</v>
      </c>
      <c r="F10" s="33" t="s">
        <v>88</v>
      </c>
      <c r="G10" s="33" t="s">
        <v>89</v>
      </c>
      <c r="H10" s="33" t="s">
        <v>90</v>
      </c>
      <c r="I10" s="33" t="s">
        <v>91</v>
      </c>
      <c r="J10" s="34"/>
      <c r="K10" s="34"/>
      <c r="L10" s="35" t="str">
        <f aca="false">IF(AND(ISNUMBER(J10),ISNUMBER(K10)),J10*K10,"")</f>
        <v/>
      </c>
      <c r="M10" s="34"/>
      <c r="N10" s="35" t="str">
        <f aca="false">IF(AND(ISNUMBER(K10),ISNUMBER(L10),L10&lt;&gt;0),K10/L10,"")</f>
        <v/>
      </c>
      <c r="O10" s="33" t="s">
        <v>92</v>
      </c>
      <c r="P10" s="36" t="s">
        <v>79</v>
      </c>
    </row>
    <row r="11" customFormat="false" ht="64.5" hidden="false" customHeight="true" outlineLevel="0" collapsed="false">
      <c r="B11" s="32" t="n">
        <v>4</v>
      </c>
      <c r="C11" s="33"/>
      <c r="D11" s="33" t="s">
        <v>93</v>
      </c>
      <c r="E11" s="33" t="s">
        <v>94</v>
      </c>
      <c r="F11" s="33" t="s">
        <v>95</v>
      </c>
      <c r="G11" s="33" t="s">
        <v>96</v>
      </c>
      <c r="H11" s="33" t="s">
        <v>97</v>
      </c>
      <c r="I11" s="33" t="s">
        <v>98</v>
      </c>
      <c r="J11" s="34"/>
      <c r="K11" s="34"/>
      <c r="L11" s="35" t="str">
        <f aca="false">IF(AND(ISNUMBER(J11),ISNUMBER(K11)),J11*K11,"")</f>
        <v/>
      </c>
      <c r="M11" s="34"/>
      <c r="N11" s="35" t="str">
        <f aca="false">IF(AND(ISNUMBER(K11),ISNUMBER(L11),L11&lt;&gt;0),K11/L11,"")</f>
        <v/>
      </c>
      <c r="O11" s="33" t="s">
        <v>99</v>
      </c>
      <c r="P11" s="36" t="s">
        <v>79</v>
      </c>
    </row>
    <row r="12" customFormat="false" ht="64.5" hidden="false" customHeight="true" outlineLevel="0" collapsed="false">
      <c r="B12" s="32" t="n">
        <v>5</v>
      </c>
      <c r="C12" s="33"/>
      <c r="D12" s="33" t="s">
        <v>100</v>
      </c>
      <c r="E12" s="33" t="s">
        <v>101</v>
      </c>
      <c r="F12" s="33" t="s">
        <v>102</v>
      </c>
      <c r="G12" s="33" t="s">
        <v>103</v>
      </c>
      <c r="H12" s="33" t="s">
        <v>104</v>
      </c>
      <c r="I12" s="33" t="s">
        <v>105</v>
      </c>
      <c r="J12" s="34"/>
      <c r="K12" s="34"/>
      <c r="L12" s="35" t="str">
        <f aca="false">IF(AND(ISNUMBER(J12),ISNUMBER(K12)),J12*K12,"")</f>
        <v/>
      </c>
      <c r="M12" s="34"/>
      <c r="N12" s="35" t="str">
        <f aca="false">IF(AND(ISNUMBER(K12),ISNUMBER(L12),L12&lt;&gt;0),K12/L12,"")</f>
        <v/>
      </c>
      <c r="O12" s="33" t="s">
        <v>106</v>
      </c>
      <c r="P12" s="36" t="s">
        <v>79</v>
      </c>
    </row>
    <row r="13" customFormat="false" ht="27.75" hidden="false" customHeight="true" outlineLevel="0" collapsed="false">
      <c r="B13" s="31" t="s">
        <v>107</v>
      </c>
      <c r="C13" s="31"/>
      <c r="D13" s="31"/>
      <c r="E13" s="31"/>
      <c r="F13" s="31"/>
      <c r="G13" s="31"/>
      <c r="H13" s="31"/>
      <c r="I13" s="31"/>
      <c r="J13" s="31"/>
      <c r="K13" s="31"/>
      <c r="L13" s="31"/>
      <c r="M13" s="31"/>
      <c r="N13" s="31"/>
      <c r="O13" s="31"/>
    </row>
    <row r="14" customFormat="false" ht="64.5" hidden="false" customHeight="true" outlineLevel="0" collapsed="false">
      <c r="B14" s="32" t="n">
        <v>6</v>
      </c>
      <c r="C14" s="37"/>
      <c r="D14" s="37" t="s">
        <v>108</v>
      </c>
      <c r="E14" s="37" t="s">
        <v>109</v>
      </c>
      <c r="F14" s="37" t="s">
        <v>110</v>
      </c>
      <c r="G14" s="37" t="s">
        <v>111</v>
      </c>
      <c r="H14" s="37" t="s">
        <v>112</v>
      </c>
      <c r="I14" s="37" t="s">
        <v>113</v>
      </c>
      <c r="J14" s="34"/>
      <c r="K14" s="34"/>
      <c r="L14" s="38" t="str">
        <f aca="false">IF(AND(ISNUMBER(J14),ISNUMBER(K14)),J14*K14,"")</f>
        <v/>
      </c>
      <c r="M14" s="34"/>
      <c r="N14" s="38" t="str">
        <f aca="false">IF(AND(ISNUMBER(K14),ISNUMBER(L14),L14&lt;&gt;0),K14/L14,"")</f>
        <v/>
      </c>
      <c r="O14" s="37" t="s">
        <v>114</v>
      </c>
      <c r="P14" s="36" t="s">
        <v>79</v>
      </c>
    </row>
    <row r="15" customFormat="false" ht="64.5" hidden="false" customHeight="true" outlineLevel="0" collapsed="false">
      <c r="B15" s="32" t="n">
        <v>7</v>
      </c>
      <c r="C15" s="37"/>
      <c r="D15" s="37" t="s">
        <v>115</v>
      </c>
      <c r="E15" s="37" t="s">
        <v>116</v>
      </c>
      <c r="F15" s="37" t="s">
        <v>117</v>
      </c>
      <c r="G15" s="37" t="s">
        <v>118</v>
      </c>
      <c r="H15" s="37" t="s">
        <v>119</v>
      </c>
      <c r="I15" s="37" t="s">
        <v>120</v>
      </c>
      <c r="J15" s="34"/>
      <c r="K15" s="34"/>
      <c r="L15" s="38" t="str">
        <f aca="false">IF(AND(ISNUMBER(J15),ISNUMBER(K15)),J15*K15,"")</f>
        <v/>
      </c>
      <c r="M15" s="34"/>
      <c r="N15" s="38" t="str">
        <f aca="false">IF(AND(ISNUMBER(K15),ISNUMBER(L15),L15&lt;&gt;0),K15/L15,"")</f>
        <v/>
      </c>
      <c r="O15" s="37" t="s">
        <v>121</v>
      </c>
      <c r="P15" s="36" t="s">
        <v>79</v>
      </c>
    </row>
    <row r="16" customFormat="false" ht="64.5" hidden="false" customHeight="true" outlineLevel="0" collapsed="false">
      <c r="B16" s="32" t="n">
        <v>8</v>
      </c>
      <c r="C16" s="37"/>
      <c r="D16" s="37" t="s">
        <v>122</v>
      </c>
      <c r="E16" s="37" t="s">
        <v>123</v>
      </c>
      <c r="F16" s="37" t="s">
        <v>124</v>
      </c>
      <c r="G16" s="37" t="s">
        <v>125</v>
      </c>
      <c r="H16" s="37" t="s">
        <v>126</v>
      </c>
      <c r="I16" s="37" t="s">
        <v>127</v>
      </c>
      <c r="J16" s="34"/>
      <c r="K16" s="34"/>
      <c r="L16" s="38" t="str">
        <f aca="false">IF(AND(ISNUMBER(J16),ISNUMBER(K16)),J16*K16,"")</f>
        <v/>
      </c>
      <c r="M16" s="34"/>
      <c r="N16" s="38" t="str">
        <f aca="false">IF(AND(ISNUMBER(K16),ISNUMBER(L16),L16&lt;&gt;0),K16/L16,"")</f>
        <v/>
      </c>
      <c r="O16" s="37" t="s">
        <v>128</v>
      </c>
      <c r="P16" s="36" t="s">
        <v>79</v>
      </c>
    </row>
    <row r="17" customFormat="false" ht="64.5" hidden="false" customHeight="true" outlineLevel="0" collapsed="false">
      <c r="B17" s="32" t="n">
        <v>9</v>
      </c>
      <c r="C17" s="37"/>
      <c r="D17" s="37" t="s">
        <v>129</v>
      </c>
      <c r="E17" s="37" t="s">
        <v>130</v>
      </c>
      <c r="F17" s="37" t="s">
        <v>131</v>
      </c>
      <c r="G17" s="37" t="s">
        <v>132</v>
      </c>
      <c r="H17" s="37" t="s">
        <v>133</v>
      </c>
      <c r="I17" s="37" t="s">
        <v>98</v>
      </c>
      <c r="J17" s="34"/>
      <c r="K17" s="34"/>
      <c r="L17" s="38" t="str">
        <f aca="false">IF(AND(ISNUMBER(J17),ISNUMBER(K17)),J17*K17,"")</f>
        <v/>
      </c>
      <c r="M17" s="34"/>
      <c r="N17" s="38" t="str">
        <f aca="false">IF(AND(ISNUMBER(K17),ISNUMBER(L17),L17&lt;&gt;0),K17/L17,"")</f>
        <v/>
      </c>
      <c r="O17" s="37" t="s">
        <v>134</v>
      </c>
      <c r="P17" s="36" t="s">
        <v>79</v>
      </c>
    </row>
    <row r="18" customFormat="false" ht="64.5" hidden="false" customHeight="true" outlineLevel="0" collapsed="false">
      <c r="B18" s="32" t="n">
        <v>10</v>
      </c>
      <c r="C18" s="37"/>
      <c r="D18" s="37" t="s">
        <v>135</v>
      </c>
      <c r="E18" s="37" t="s">
        <v>136</v>
      </c>
      <c r="F18" s="37" t="s">
        <v>137</v>
      </c>
      <c r="G18" s="37" t="s">
        <v>138</v>
      </c>
      <c r="H18" s="37" t="s">
        <v>139</v>
      </c>
      <c r="I18" s="37" t="s">
        <v>127</v>
      </c>
      <c r="J18" s="34"/>
      <c r="K18" s="34"/>
      <c r="L18" s="38" t="str">
        <f aca="false">IF(AND(ISNUMBER(J18),ISNUMBER(K18)),J18*K18,"")</f>
        <v/>
      </c>
      <c r="M18" s="34"/>
      <c r="N18" s="38" t="str">
        <f aca="false">IF(AND(ISNUMBER(K18),ISNUMBER(L18),L18&lt;&gt;0),K18/L18,"")</f>
        <v/>
      </c>
      <c r="O18" s="37" t="s">
        <v>140</v>
      </c>
      <c r="P18" s="36" t="s">
        <v>79</v>
      </c>
    </row>
    <row r="19" customFormat="false" ht="27.75" hidden="false" customHeight="true" outlineLevel="0" collapsed="false">
      <c r="B19" s="31" t="s">
        <v>141</v>
      </c>
      <c r="C19" s="31"/>
      <c r="D19" s="31"/>
      <c r="E19" s="31"/>
      <c r="F19" s="31"/>
      <c r="G19" s="31"/>
      <c r="H19" s="31"/>
      <c r="I19" s="31"/>
      <c r="J19" s="31"/>
      <c r="K19" s="31"/>
      <c r="L19" s="31"/>
      <c r="M19" s="31"/>
      <c r="N19" s="31"/>
      <c r="O19" s="31"/>
    </row>
    <row r="20" customFormat="false" ht="64.5" hidden="false" customHeight="true" outlineLevel="0" collapsed="false">
      <c r="B20" s="32" t="n">
        <v>11</v>
      </c>
      <c r="C20" s="39"/>
      <c r="D20" s="39" t="s">
        <v>142</v>
      </c>
      <c r="E20" s="39" t="s">
        <v>143</v>
      </c>
      <c r="F20" s="39" t="s">
        <v>144</v>
      </c>
      <c r="G20" s="39" t="s">
        <v>145</v>
      </c>
      <c r="H20" s="39" t="s">
        <v>146</v>
      </c>
      <c r="I20" s="39" t="s">
        <v>147</v>
      </c>
      <c r="J20" s="34"/>
      <c r="K20" s="34"/>
      <c r="L20" s="40" t="str">
        <f aca="false">IF(AND(ISNUMBER(J20),ISNUMBER(K20)),J20*K20,"")</f>
        <v/>
      </c>
      <c r="M20" s="34"/>
      <c r="N20" s="40" t="str">
        <f aca="false">IF(AND(ISNUMBER(K20),ISNUMBER(L20),L20&lt;&gt;0),K20/L20,"")</f>
        <v/>
      </c>
      <c r="O20" s="39" t="s">
        <v>148</v>
      </c>
      <c r="P20" s="36" t="s">
        <v>79</v>
      </c>
    </row>
    <row r="21" customFormat="false" ht="64.5" hidden="false" customHeight="true" outlineLevel="0" collapsed="false">
      <c r="B21" s="32" t="n">
        <v>12</v>
      </c>
      <c r="C21" s="39"/>
      <c r="D21" s="39" t="s">
        <v>149</v>
      </c>
      <c r="E21" s="39" t="s">
        <v>150</v>
      </c>
      <c r="F21" s="39" t="s">
        <v>151</v>
      </c>
      <c r="G21" s="39" t="s">
        <v>152</v>
      </c>
      <c r="H21" s="39" t="s">
        <v>153</v>
      </c>
      <c r="I21" s="39" t="s">
        <v>154</v>
      </c>
      <c r="J21" s="34"/>
      <c r="K21" s="34"/>
      <c r="L21" s="40" t="str">
        <f aca="false">IF(AND(ISNUMBER(J21),ISNUMBER(K21)),J21*K21,"")</f>
        <v/>
      </c>
      <c r="M21" s="34"/>
      <c r="N21" s="40" t="str">
        <f aca="false">IF(AND(ISNUMBER(K21),ISNUMBER(L21),L21&lt;&gt;0),K21/L21,"")</f>
        <v/>
      </c>
      <c r="O21" s="39" t="s">
        <v>155</v>
      </c>
      <c r="P21" s="36" t="s">
        <v>79</v>
      </c>
    </row>
    <row r="22" customFormat="false" ht="64.5" hidden="false" customHeight="true" outlineLevel="0" collapsed="false">
      <c r="B22" s="32" t="n">
        <v>13</v>
      </c>
      <c r="C22" s="39"/>
      <c r="D22" s="39" t="s">
        <v>156</v>
      </c>
      <c r="E22" s="39" t="s">
        <v>157</v>
      </c>
      <c r="F22" s="39" t="s">
        <v>158</v>
      </c>
      <c r="G22" s="39" t="s">
        <v>159</v>
      </c>
      <c r="H22" s="39" t="s">
        <v>160</v>
      </c>
      <c r="I22" s="39" t="s">
        <v>161</v>
      </c>
      <c r="J22" s="34"/>
      <c r="K22" s="34"/>
      <c r="L22" s="40" t="str">
        <f aca="false">IF(AND(ISNUMBER(J22),ISNUMBER(K22)),J22*K22,"")</f>
        <v/>
      </c>
      <c r="M22" s="34"/>
      <c r="N22" s="40" t="str">
        <f aca="false">IF(AND(ISNUMBER(K22),ISNUMBER(L22),L22&lt;&gt;0),K22/L22,"")</f>
        <v/>
      </c>
      <c r="O22" s="39" t="s">
        <v>162</v>
      </c>
      <c r="P22" s="36" t="s">
        <v>79</v>
      </c>
    </row>
    <row r="23" customFormat="false" ht="64.5" hidden="false" customHeight="true" outlineLevel="0" collapsed="false">
      <c r="B23" s="32" t="n">
        <v>14</v>
      </c>
      <c r="C23" s="39"/>
      <c r="D23" s="39" t="s">
        <v>163</v>
      </c>
      <c r="E23" s="39" t="s">
        <v>164</v>
      </c>
      <c r="F23" s="39" t="s">
        <v>165</v>
      </c>
      <c r="G23" s="39" t="s">
        <v>166</v>
      </c>
      <c r="H23" s="39" t="s">
        <v>167</v>
      </c>
      <c r="I23" s="39" t="s">
        <v>168</v>
      </c>
      <c r="J23" s="34"/>
      <c r="K23" s="34"/>
      <c r="L23" s="40" t="str">
        <f aca="false">IF(AND(ISNUMBER(J23),ISNUMBER(K23)),J23*K23,"")</f>
        <v/>
      </c>
      <c r="M23" s="34"/>
      <c r="N23" s="40" t="str">
        <f aca="false">IF(AND(ISNUMBER(K23),ISNUMBER(L23),L23&lt;&gt;0),K23/L23,"")</f>
        <v/>
      </c>
      <c r="O23" s="39" t="s">
        <v>169</v>
      </c>
      <c r="P23" s="36" t="s">
        <v>79</v>
      </c>
    </row>
    <row r="24" customFormat="false" ht="64.5" hidden="false" customHeight="true" outlineLevel="0" collapsed="false">
      <c r="B24" s="32" t="n">
        <v>15</v>
      </c>
      <c r="C24" s="39"/>
      <c r="D24" s="39" t="s">
        <v>170</v>
      </c>
      <c r="E24" s="39" t="s">
        <v>171</v>
      </c>
      <c r="F24" s="39" t="s">
        <v>172</v>
      </c>
      <c r="G24" s="39" t="s">
        <v>173</v>
      </c>
      <c r="H24" s="39" t="s">
        <v>174</v>
      </c>
      <c r="I24" s="39" t="s">
        <v>175</v>
      </c>
      <c r="J24" s="34"/>
      <c r="K24" s="34"/>
      <c r="L24" s="40" t="str">
        <f aca="false">IF(AND(ISNUMBER(J24),ISNUMBER(K24)),J24*K24,"")</f>
        <v/>
      </c>
      <c r="M24" s="34"/>
      <c r="N24" s="40" t="str">
        <f aca="false">IF(AND(ISNUMBER(K24),ISNUMBER(L24),L24&lt;&gt;0),K24/L24,"")</f>
        <v/>
      </c>
      <c r="O24" s="39" t="s">
        <v>176</v>
      </c>
      <c r="P24" s="36" t="s">
        <v>79</v>
      </c>
    </row>
    <row r="25" customFormat="false" ht="27.75" hidden="false" customHeight="true" outlineLevel="0" collapsed="false">
      <c r="B25" s="31" t="s">
        <v>177</v>
      </c>
      <c r="C25" s="31"/>
      <c r="D25" s="31"/>
      <c r="E25" s="31"/>
      <c r="F25" s="31"/>
      <c r="G25" s="31"/>
      <c r="H25" s="31"/>
      <c r="I25" s="31"/>
      <c r="J25" s="31"/>
      <c r="K25" s="31"/>
      <c r="L25" s="31"/>
      <c r="M25" s="31"/>
      <c r="N25" s="31"/>
      <c r="O25" s="31"/>
    </row>
    <row r="26" customFormat="false" ht="64.5" hidden="false" customHeight="true" outlineLevel="0" collapsed="false">
      <c r="B26" s="32" t="n">
        <v>16</v>
      </c>
      <c r="C26" s="41"/>
      <c r="D26" s="41" t="s">
        <v>178</v>
      </c>
      <c r="E26" s="41" t="s">
        <v>179</v>
      </c>
      <c r="F26" s="41" t="s">
        <v>180</v>
      </c>
      <c r="G26" s="41" t="s">
        <v>181</v>
      </c>
      <c r="H26" s="41" t="s">
        <v>182</v>
      </c>
      <c r="I26" s="41" t="s">
        <v>183</v>
      </c>
      <c r="J26" s="34"/>
      <c r="K26" s="34"/>
      <c r="L26" s="42" t="str">
        <f aca="false">IF(AND(ISNUMBER(J26),ISNUMBER(K26)),J26*K26,"")</f>
        <v/>
      </c>
      <c r="M26" s="34"/>
      <c r="N26" s="42" t="str">
        <f aca="false">IF(AND(ISNUMBER(K26),ISNUMBER(L26),L26&lt;&gt;0),K26/L26,"")</f>
        <v/>
      </c>
      <c r="O26" s="41" t="s">
        <v>184</v>
      </c>
      <c r="P26" s="36" t="s">
        <v>79</v>
      </c>
    </row>
    <row r="27" customFormat="false" ht="64.5" hidden="false" customHeight="true" outlineLevel="0" collapsed="false">
      <c r="B27" s="32" t="n">
        <v>17</v>
      </c>
      <c r="C27" s="41"/>
      <c r="D27" s="41" t="s">
        <v>185</v>
      </c>
      <c r="E27" s="41" t="s">
        <v>186</v>
      </c>
      <c r="F27" s="41" t="s">
        <v>187</v>
      </c>
      <c r="G27" s="41" t="s">
        <v>188</v>
      </c>
      <c r="H27" s="41" t="s">
        <v>189</v>
      </c>
      <c r="I27" s="41" t="s">
        <v>190</v>
      </c>
      <c r="J27" s="34"/>
      <c r="K27" s="34"/>
      <c r="L27" s="42" t="str">
        <f aca="false">IF(AND(ISNUMBER(J27),ISNUMBER(K27)),J27*K27,"")</f>
        <v/>
      </c>
      <c r="M27" s="34"/>
      <c r="N27" s="42" t="str">
        <f aca="false">IF(AND(ISNUMBER(K27),ISNUMBER(L27),L27&lt;&gt;0),K27/L27,"")</f>
        <v/>
      </c>
      <c r="O27" s="41" t="s">
        <v>191</v>
      </c>
      <c r="P27" s="36" t="s">
        <v>79</v>
      </c>
    </row>
    <row r="28" customFormat="false" ht="64.5" hidden="false" customHeight="true" outlineLevel="0" collapsed="false">
      <c r="B28" s="32" t="n">
        <v>18</v>
      </c>
      <c r="C28" s="41"/>
      <c r="D28" s="41" t="s">
        <v>192</v>
      </c>
      <c r="E28" s="41" t="s">
        <v>193</v>
      </c>
      <c r="F28" s="41" t="s">
        <v>194</v>
      </c>
      <c r="G28" s="41" t="s">
        <v>195</v>
      </c>
      <c r="H28" s="41" t="s">
        <v>196</v>
      </c>
      <c r="I28" s="41" t="s">
        <v>197</v>
      </c>
      <c r="J28" s="34"/>
      <c r="K28" s="34"/>
      <c r="L28" s="42" t="str">
        <f aca="false">IF(AND(ISNUMBER(J28),ISNUMBER(K28)),J28*K28,"")</f>
        <v/>
      </c>
      <c r="M28" s="34"/>
      <c r="N28" s="42" t="str">
        <f aca="false">IF(AND(ISNUMBER(K28),ISNUMBER(L28),L28&lt;&gt;0),K28/L28,"")</f>
        <v/>
      </c>
      <c r="O28" s="41" t="s">
        <v>198</v>
      </c>
      <c r="P28" s="36" t="s">
        <v>79</v>
      </c>
    </row>
    <row r="29" customFormat="false" ht="64.5" hidden="false" customHeight="true" outlineLevel="0" collapsed="false">
      <c r="B29" s="32" t="n">
        <v>19</v>
      </c>
      <c r="C29" s="41"/>
      <c r="D29" s="41" t="s">
        <v>199</v>
      </c>
      <c r="E29" s="41" t="s">
        <v>200</v>
      </c>
      <c r="F29" s="41" t="s">
        <v>201</v>
      </c>
      <c r="G29" s="41" t="s">
        <v>202</v>
      </c>
      <c r="H29" s="41" t="s">
        <v>203</v>
      </c>
      <c r="I29" s="41" t="s">
        <v>204</v>
      </c>
      <c r="J29" s="34"/>
      <c r="K29" s="34"/>
      <c r="L29" s="42" t="str">
        <f aca="false">IF(AND(ISNUMBER(J29),ISNUMBER(K29)),J29*K29,"")</f>
        <v/>
      </c>
      <c r="M29" s="34"/>
      <c r="N29" s="42" t="str">
        <f aca="false">IF(AND(ISNUMBER(K29),ISNUMBER(L29),L29&lt;&gt;0),K29/L29,"")</f>
        <v/>
      </c>
      <c r="O29" s="41" t="s">
        <v>205</v>
      </c>
      <c r="P29" s="36" t="s">
        <v>79</v>
      </c>
    </row>
    <row r="30" customFormat="false" ht="64.5" hidden="false" customHeight="true" outlineLevel="0" collapsed="false">
      <c r="B30" s="32" t="n">
        <v>20</v>
      </c>
      <c r="C30" s="41"/>
      <c r="D30" s="41" t="s">
        <v>206</v>
      </c>
      <c r="E30" s="41" t="s">
        <v>207</v>
      </c>
      <c r="F30" s="41" t="s">
        <v>208</v>
      </c>
      <c r="G30" s="41" t="s">
        <v>209</v>
      </c>
      <c r="H30" s="41" t="s">
        <v>210</v>
      </c>
      <c r="I30" s="41" t="s">
        <v>211</v>
      </c>
      <c r="J30" s="34"/>
      <c r="K30" s="34"/>
      <c r="L30" s="42" t="str">
        <f aca="false">IF(AND(ISNUMBER(J30),ISNUMBER(K30)),J30*K30,"")</f>
        <v/>
      </c>
      <c r="M30" s="34"/>
      <c r="N30" s="42" t="str">
        <f aca="false">IF(AND(ISNUMBER(K30),ISNUMBER(L30),L30&lt;&gt;0),K30/L30,"")</f>
        <v/>
      </c>
      <c r="O30" s="41" t="s">
        <v>212</v>
      </c>
      <c r="P30" s="36" t="s">
        <v>79</v>
      </c>
    </row>
    <row r="31" customFormat="false" ht="27.75" hidden="false" customHeight="true" outlineLevel="0" collapsed="false">
      <c r="B31" s="31" t="s">
        <v>213</v>
      </c>
      <c r="C31" s="31"/>
      <c r="D31" s="31"/>
      <c r="E31" s="31"/>
      <c r="F31" s="31"/>
      <c r="G31" s="31"/>
      <c r="H31" s="31"/>
      <c r="I31" s="31"/>
      <c r="J31" s="31"/>
      <c r="K31" s="31"/>
      <c r="L31" s="31"/>
      <c r="M31" s="31"/>
      <c r="N31" s="31"/>
      <c r="O31" s="31"/>
    </row>
    <row r="32" customFormat="false" ht="64.5" hidden="false" customHeight="true" outlineLevel="0" collapsed="false">
      <c r="B32" s="32" t="n">
        <v>21</v>
      </c>
      <c r="C32" s="43"/>
      <c r="D32" s="43" t="s">
        <v>214</v>
      </c>
      <c r="E32" s="43" t="s">
        <v>215</v>
      </c>
      <c r="F32" s="43" t="s">
        <v>216</v>
      </c>
      <c r="G32" s="43" t="s">
        <v>217</v>
      </c>
      <c r="H32" s="43" t="s">
        <v>218</v>
      </c>
      <c r="I32" s="43" t="s">
        <v>219</v>
      </c>
      <c r="J32" s="34"/>
      <c r="K32" s="34"/>
      <c r="L32" s="44" t="str">
        <f aca="false">IF(AND(ISNUMBER(J32),ISNUMBER(K32)),J32*K32,"")</f>
        <v/>
      </c>
      <c r="M32" s="34"/>
      <c r="N32" s="44" t="str">
        <f aca="false">IF(AND(ISNUMBER(K32),ISNUMBER(L32),L32&lt;&gt;0),K32/L32,"")</f>
        <v/>
      </c>
      <c r="O32" s="43" t="s">
        <v>220</v>
      </c>
      <c r="P32" s="36" t="s">
        <v>79</v>
      </c>
    </row>
    <row r="33" customFormat="false" ht="64.5" hidden="false" customHeight="true" outlineLevel="0" collapsed="false">
      <c r="B33" s="32" t="n">
        <v>22</v>
      </c>
      <c r="C33" s="43"/>
      <c r="D33" s="43" t="s">
        <v>221</v>
      </c>
      <c r="E33" s="43" t="s">
        <v>222</v>
      </c>
      <c r="F33" s="43" t="s">
        <v>223</v>
      </c>
      <c r="G33" s="43" t="s">
        <v>224</v>
      </c>
      <c r="H33" s="43" t="s">
        <v>225</v>
      </c>
      <c r="I33" s="43" t="s">
        <v>219</v>
      </c>
      <c r="J33" s="34"/>
      <c r="K33" s="34"/>
      <c r="L33" s="44" t="str">
        <f aca="false">IF(AND(ISNUMBER(J33),ISNUMBER(K33)),J33*K33,"")</f>
        <v/>
      </c>
      <c r="M33" s="34"/>
      <c r="N33" s="44" t="str">
        <f aca="false">IF(AND(ISNUMBER(K33),ISNUMBER(L33),L33&lt;&gt;0),K33/L33,"")</f>
        <v/>
      </c>
      <c r="O33" s="43" t="s">
        <v>226</v>
      </c>
      <c r="P33" s="36" t="s">
        <v>79</v>
      </c>
    </row>
    <row r="34" customFormat="false" ht="64.5" hidden="false" customHeight="true" outlineLevel="0" collapsed="false">
      <c r="B34" s="32" t="n">
        <v>23</v>
      </c>
      <c r="C34" s="43"/>
      <c r="D34" s="43" t="s">
        <v>227</v>
      </c>
      <c r="E34" s="43" t="s">
        <v>228</v>
      </c>
      <c r="F34" s="43" t="s">
        <v>229</v>
      </c>
      <c r="G34" s="43" t="s">
        <v>230</v>
      </c>
      <c r="H34" s="43" t="s">
        <v>231</v>
      </c>
      <c r="I34" s="43" t="s">
        <v>232</v>
      </c>
      <c r="J34" s="34"/>
      <c r="K34" s="34"/>
      <c r="L34" s="44" t="str">
        <f aca="false">IF(AND(ISNUMBER(J34),ISNUMBER(K34)),J34*K34,"")</f>
        <v/>
      </c>
      <c r="M34" s="34"/>
      <c r="N34" s="44" t="str">
        <f aca="false">IF(AND(ISNUMBER(K34),ISNUMBER(L34),L34&lt;&gt;0),K34/L34,"")</f>
        <v/>
      </c>
      <c r="O34" s="43" t="s">
        <v>233</v>
      </c>
      <c r="P34" s="36" t="s">
        <v>79</v>
      </c>
    </row>
    <row r="35" customFormat="false" ht="64.5" hidden="false" customHeight="true" outlineLevel="0" collapsed="false">
      <c r="B35" s="32" t="n">
        <v>24</v>
      </c>
      <c r="C35" s="43"/>
      <c r="D35" s="43" t="s">
        <v>234</v>
      </c>
      <c r="E35" s="43" t="s">
        <v>235</v>
      </c>
      <c r="F35" s="43" t="s">
        <v>236</v>
      </c>
      <c r="G35" s="43" t="s">
        <v>237</v>
      </c>
      <c r="H35" s="43" t="s">
        <v>238</v>
      </c>
      <c r="I35" s="43" t="s">
        <v>239</v>
      </c>
      <c r="J35" s="34"/>
      <c r="K35" s="34"/>
      <c r="L35" s="44" t="str">
        <f aca="false">IF(AND(ISNUMBER(J35),ISNUMBER(K35)),J35*K35,"")</f>
        <v/>
      </c>
      <c r="M35" s="34"/>
      <c r="N35" s="44" t="str">
        <f aca="false">IF(AND(ISNUMBER(K35),ISNUMBER(L35),L35&lt;&gt;0),K35/L35,"")</f>
        <v/>
      </c>
      <c r="O35" s="43" t="s">
        <v>240</v>
      </c>
      <c r="P35" s="36" t="s">
        <v>79</v>
      </c>
    </row>
    <row r="36" customFormat="false" ht="64.5" hidden="false" customHeight="true" outlineLevel="0" collapsed="false">
      <c r="B36" s="32" t="n">
        <v>25</v>
      </c>
      <c r="C36" s="43"/>
      <c r="D36" s="43" t="s">
        <v>241</v>
      </c>
      <c r="E36" s="43" t="s">
        <v>242</v>
      </c>
      <c r="F36" s="43" t="s">
        <v>243</v>
      </c>
      <c r="G36" s="43" t="s">
        <v>244</v>
      </c>
      <c r="H36" s="43" t="s">
        <v>245</v>
      </c>
      <c r="I36" s="43" t="s">
        <v>246</v>
      </c>
      <c r="J36" s="34"/>
      <c r="K36" s="34"/>
      <c r="L36" s="44" t="str">
        <f aca="false">IF(AND(ISNUMBER(J36),ISNUMBER(K36)),J36*K36,"")</f>
        <v/>
      </c>
      <c r="M36" s="34"/>
      <c r="N36" s="44" t="str">
        <f aca="false">IF(AND(ISNUMBER(K36),ISNUMBER(L36),L36&lt;&gt;0),K36/L36,"")</f>
        <v/>
      </c>
      <c r="O36" s="43" t="s">
        <v>247</v>
      </c>
      <c r="P36" s="36" t="s">
        <v>79</v>
      </c>
    </row>
  </sheetData>
  <mergeCells count="8">
    <mergeCell ref="B2:O2"/>
    <mergeCell ref="B3:O3"/>
    <mergeCell ref="B4:O4"/>
    <mergeCell ref="B7:O7"/>
    <mergeCell ref="B13:O13"/>
    <mergeCell ref="B19:O19"/>
    <mergeCell ref="B25:O25"/>
    <mergeCell ref="B31:O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12" min="4" style="0" width="14"/>
  </cols>
  <sheetData>
    <row r="2" customFormat="false" ht="25.5" hidden="false" customHeight="true" outlineLevel="0" collapsed="false">
      <c r="B2" s="12" t="s">
        <v>248</v>
      </c>
      <c r="C2" s="12"/>
      <c r="D2" s="12"/>
      <c r="E2" s="12"/>
      <c r="F2" s="12"/>
      <c r="G2" s="12"/>
      <c r="H2" s="12"/>
      <c r="I2" s="12"/>
      <c r="J2" s="12"/>
      <c r="K2" s="12"/>
      <c r="L2" s="12"/>
    </row>
    <row r="5" customFormat="false" ht="19.5" hidden="false" customHeight="true" outlineLevel="0" collapsed="false">
      <c r="B5" s="45" t="s">
        <v>249</v>
      </c>
      <c r="C5" s="46"/>
      <c r="E5" s="47" t="s">
        <v>250</v>
      </c>
      <c r="F5" s="47"/>
      <c r="G5" s="47"/>
      <c r="H5" s="47"/>
      <c r="I5" s="47"/>
      <c r="J5" s="47"/>
      <c r="K5" s="47"/>
      <c r="L5" s="47"/>
    </row>
    <row r="6" customFormat="false" ht="19.5" hidden="false" customHeight="true" outlineLevel="0" collapsed="false">
      <c r="B6" s="45" t="s">
        <v>251</v>
      </c>
      <c r="C6" s="46"/>
      <c r="E6" s="47"/>
      <c r="F6" s="47"/>
      <c r="G6" s="47"/>
      <c r="H6" s="47"/>
      <c r="I6" s="47"/>
      <c r="J6" s="47"/>
      <c r="K6" s="47"/>
      <c r="L6" s="47"/>
    </row>
    <row r="7" customFormat="false" ht="19.5" hidden="false" customHeight="true" outlineLevel="0" collapsed="false">
      <c r="B7" s="45" t="s">
        <v>252</v>
      </c>
      <c r="C7" s="46"/>
      <c r="E7" s="47"/>
      <c r="F7" s="47"/>
      <c r="G7" s="47"/>
      <c r="H7" s="47"/>
      <c r="I7" s="47"/>
      <c r="J7" s="47"/>
      <c r="K7" s="47"/>
      <c r="L7" s="47"/>
    </row>
    <row r="8" customFormat="false" ht="19.5" hidden="false" customHeight="true" outlineLevel="0" collapsed="false">
      <c r="B8" s="45" t="s">
        <v>253</v>
      </c>
      <c r="C8" s="46"/>
    </row>
    <row r="9" customFormat="false" ht="19.5" hidden="false" customHeight="true" outlineLevel="0" collapsed="false">
      <c r="B9" s="45" t="s">
        <v>254</v>
      </c>
      <c r="C9" s="46"/>
    </row>
    <row r="10" customFormat="false" ht="19.5" hidden="false" customHeight="true" outlineLevel="0" collapsed="false">
      <c r="B10" s="45" t="s">
        <v>255</v>
      </c>
      <c r="C10" s="46"/>
    </row>
    <row r="11" customFormat="false" ht="19.5" hidden="false" customHeight="true" outlineLevel="0" collapsed="false">
      <c r="B11" s="45" t="s">
        <v>256</v>
      </c>
      <c r="C11" s="46"/>
    </row>
    <row r="13" customFormat="false" ht="21.75" hidden="false" customHeight="true" outlineLevel="0" collapsed="false">
      <c r="B13" s="48" t="s">
        <v>257</v>
      </c>
      <c r="C13" s="48"/>
      <c r="D13" s="48"/>
      <c r="E13" s="48"/>
      <c r="F13" s="48"/>
      <c r="G13" s="48"/>
      <c r="H13" s="48"/>
      <c r="I13" s="48"/>
      <c r="J13" s="48"/>
      <c r="K13" s="48"/>
      <c r="L13" s="48"/>
    </row>
    <row r="14" customFormat="false" ht="39.75" hidden="false" customHeight="true" outlineLevel="0" collapsed="false">
      <c r="B14" s="49" t="s">
        <v>258</v>
      </c>
      <c r="C14" s="49" t="s">
        <v>259</v>
      </c>
      <c r="D14" s="49" t="s">
        <v>260</v>
      </c>
      <c r="E14" s="49" t="s">
        <v>261</v>
      </c>
      <c r="F14" s="49" t="s">
        <v>262</v>
      </c>
      <c r="G14" s="49" t="s">
        <v>263</v>
      </c>
      <c r="H14" s="49" t="s">
        <v>264</v>
      </c>
      <c r="I14" s="49" t="s">
        <v>265</v>
      </c>
      <c r="J14" s="49" t="s">
        <v>266</v>
      </c>
    </row>
    <row r="15" customFormat="false" ht="21.75" hidden="false" customHeight="true" outlineLevel="0" collapsed="false">
      <c r="B15" s="50" t="s">
        <v>267</v>
      </c>
      <c r="C15" s="51" t="s">
        <v>268</v>
      </c>
      <c r="D15" s="52" t="n">
        <v>0.35</v>
      </c>
      <c r="E15" s="52" t="n">
        <v>0.15</v>
      </c>
      <c r="F15" s="52" t="n">
        <v>0.1</v>
      </c>
      <c r="G15" s="53"/>
      <c r="H15" s="54" t="str">
        <f aca="false">IF(ISNUMBER(G15),D15*G15,"")</f>
        <v/>
      </c>
      <c r="I15" s="54" t="str">
        <f aca="false">IF(ISNUMBER(G15),E15*G15,"")</f>
        <v/>
      </c>
      <c r="J15" s="54" t="str">
        <f aca="false">IF(ISNUMBER(G15),F15*G15,"")</f>
        <v/>
      </c>
    </row>
    <row r="16" customFormat="false" ht="21.75" hidden="false" customHeight="true" outlineLevel="0" collapsed="false">
      <c r="B16" s="55" t="s">
        <v>269</v>
      </c>
      <c r="C16" s="56" t="s">
        <v>270</v>
      </c>
      <c r="D16" s="57" t="n">
        <v>0.15</v>
      </c>
      <c r="E16" s="57" t="n">
        <v>0.35</v>
      </c>
      <c r="F16" s="57" t="n">
        <v>0.2</v>
      </c>
      <c r="G16" s="53"/>
      <c r="H16" s="58" t="str">
        <f aca="false">IF(ISNUMBER(G16),D16*G16,"")</f>
        <v/>
      </c>
      <c r="I16" s="58" t="str">
        <f aca="false">IF(ISNUMBER(G16),E16*G16,"")</f>
        <v/>
      </c>
      <c r="J16" s="58" t="str">
        <f aca="false">IF(ISNUMBER(G16),F16*G16,"")</f>
        <v/>
      </c>
    </row>
    <row r="17" customFormat="false" ht="21.75" hidden="false" customHeight="true" outlineLevel="0" collapsed="false">
      <c r="B17" s="59" t="s">
        <v>271</v>
      </c>
      <c r="C17" s="60" t="s">
        <v>272</v>
      </c>
      <c r="D17" s="61" t="n">
        <v>0.25</v>
      </c>
      <c r="E17" s="61" t="n">
        <v>0.15</v>
      </c>
      <c r="F17" s="61" t="n">
        <v>0.15</v>
      </c>
      <c r="G17" s="53"/>
      <c r="H17" s="62" t="str">
        <f aca="false">IF(ISNUMBER(G17),D17*G17,"")</f>
        <v/>
      </c>
      <c r="I17" s="62" t="str">
        <f aca="false">IF(ISNUMBER(G17),E17*G17,"")</f>
        <v/>
      </c>
      <c r="J17" s="62" t="str">
        <f aca="false">IF(ISNUMBER(G17),F17*G17,"")</f>
        <v/>
      </c>
    </row>
    <row r="18" customFormat="false" ht="21.75" hidden="false" customHeight="true" outlineLevel="0" collapsed="false">
      <c r="B18" s="63" t="s">
        <v>273</v>
      </c>
      <c r="C18" s="64" t="s">
        <v>274</v>
      </c>
      <c r="D18" s="65" t="n">
        <v>0.15</v>
      </c>
      <c r="E18" s="65" t="n">
        <v>0.2</v>
      </c>
      <c r="F18" s="65" t="n">
        <v>0.3</v>
      </c>
      <c r="G18" s="53"/>
      <c r="H18" s="66" t="str">
        <f aca="false">IF(ISNUMBER(G18),D18*G18,"")</f>
        <v/>
      </c>
      <c r="I18" s="66" t="str">
        <f aca="false">IF(ISNUMBER(G18),E18*G18,"")</f>
        <v/>
      </c>
      <c r="J18" s="66" t="str">
        <f aca="false">IF(ISNUMBER(G18),F18*G18,"")</f>
        <v/>
      </c>
    </row>
    <row r="19" customFormat="false" ht="21.75" hidden="false" customHeight="true" outlineLevel="0" collapsed="false">
      <c r="B19" s="67" t="s">
        <v>275</v>
      </c>
      <c r="C19" s="68" t="s">
        <v>276</v>
      </c>
      <c r="D19" s="69" t="n">
        <v>0.1</v>
      </c>
      <c r="E19" s="69" t="n">
        <v>0.15</v>
      </c>
      <c r="F19" s="69" t="n">
        <v>0.25</v>
      </c>
      <c r="G19" s="53"/>
      <c r="H19" s="70" t="str">
        <f aca="false">IF(ISNUMBER(G19),D19*G19,"")</f>
        <v/>
      </c>
      <c r="I19" s="70" t="str">
        <f aca="false">IF(ISNUMBER(G19),E19*G19,"")</f>
        <v/>
      </c>
      <c r="J19" s="70" t="str">
        <f aca="false">IF(ISNUMBER(G19),F19*G19,"")</f>
        <v/>
      </c>
    </row>
    <row r="21" customFormat="false" ht="21.75" hidden="false" customHeight="true" outlineLevel="0" collapsed="false">
      <c r="B21" s="71" t="s">
        <v>277</v>
      </c>
      <c r="C21" s="71"/>
      <c r="D21" s="71"/>
      <c r="E21" s="71"/>
    </row>
    <row r="22" customFormat="false" ht="19.5" hidden="false" customHeight="true" outlineLevel="0" collapsed="false">
      <c r="B22" s="45" t="s">
        <v>278</v>
      </c>
      <c r="C22" s="72" t="n">
        <f aca="false">SUM(H15:H19)</f>
        <v>0</v>
      </c>
    </row>
    <row r="23" customFormat="false" ht="19.5" hidden="false" customHeight="true" outlineLevel="0" collapsed="false">
      <c r="B23" s="45" t="s">
        <v>279</v>
      </c>
      <c r="C23" s="72" t="n">
        <f aca="false">SUM(I15:I19)</f>
        <v>0</v>
      </c>
    </row>
    <row r="24" customFormat="false" ht="19.5" hidden="false" customHeight="true" outlineLevel="0" collapsed="false">
      <c r="B24" s="45" t="s">
        <v>280</v>
      </c>
      <c r="C24" s="72" t="n">
        <f aca="false">SUM(J15:J19)</f>
        <v>0</v>
      </c>
    </row>
    <row r="26" customFormat="false" ht="54.75" hidden="false" customHeight="true" outlineLevel="0" collapsed="false">
      <c r="B26" s="73" t="s">
        <v>281</v>
      </c>
      <c r="C26" s="73"/>
      <c r="D26" s="73"/>
      <c r="E26" s="73"/>
      <c r="F26" s="73"/>
      <c r="G26" s="73"/>
      <c r="H26" s="73"/>
      <c r="I26" s="73"/>
      <c r="J26" s="73"/>
      <c r="K26" s="73"/>
      <c r="L26" s="73"/>
    </row>
  </sheetData>
  <mergeCells count="5">
    <mergeCell ref="B2:L2"/>
    <mergeCell ref="E5:L7"/>
    <mergeCell ref="B13:L13"/>
    <mergeCell ref="B21:E21"/>
    <mergeCell ref="B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8" min="5" style="0" width="16"/>
    <col collapsed="false" customWidth="true" hidden="false" outlineLevel="0" max="9" min="9" style="0" width="20"/>
    <col collapsed="false" customWidth="true" hidden="false" outlineLevel="0" max="10" min="10" style="0" width="14"/>
    <col collapsed="false" customWidth="true" hidden="false" outlineLevel="0" max="11" min="11" style="0" width="16"/>
    <col collapsed="false" customWidth="true" hidden="false" outlineLevel="0" max="12" min="12" style="0" width="32"/>
  </cols>
  <sheetData>
    <row r="2" customFormat="false" ht="25.5" hidden="false" customHeight="true" outlineLevel="0" collapsed="false">
      <c r="B2" s="12" t="s">
        <v>282</v>
      </c>
      <c r="C2" s="12"/>
      <c r="D2" s="12"/>
      <c r="E2" s="12"/>
      <c r="F2" s="12"/>
      <c r="G2" s="12"/>
      <c r="H2" s="12"/>
      <c r="I2" s="12"/>
      <c r="J2" s="12"/>
      <c r="K2" s="12"/>
      <c r="L2" s="12"/>
    </row>
    <row r="4" customFormat="false" ht="49.5" hidden="false" customHeight="true" outlineLevel="0" collapsed="false">
      <c r="B4" s="73" t="s">
        <v>283</v>
      </c>
      <c r="C4" s="73"/>
      <c r="D4" s="73"/>
      <c r="E4" s="73"/>
      <c r="F4" s="73"/>
      <c r="G4" s="73"/>
      <c r="H4" s="73"/>
      <c r="I4" s="73"/>
      <c r="J4" s="73"/>
      <c r="K4" s="73"/>
      <c r="L4" s="73"/>
    </row>
    <row r="5" customFormat="false" ht="15" hidden="false" customHeight="false" outlineLevel="0" collapsed="false">
      <c r="B5" s="73"/>
      <c r="C5" s="73"/>
      <c r="D5" s="73"/>
      <c r="E5" s="73"/>
      <c r="F5" s="73"/>
      <c r="G5" s="73"/>
      <c r="H5" s="73"/>
      <c r="I5" s="73"/>
      <c r="J5" s="73"/>
      <c r="K5" s="73"/>
      <c r="L5" s="73"/>
    </row>
    <row r="7" customFormat="false" ht="45" hidden="false" customHeight="true" outlineLevel="0" collapsed="false">
      <c r="B7" s="30" t="s">
        <v>284</v>
      </c>
      <c r="C7" s="30" t="s">
        <v>285</v>
      </c>
      <c r="D7" s="30" t="s">
        <v>286</v>
      </c>
      <c r="E7" s="30" t="s">
        <v>287</v>
      </c>
      <c r="F7" s="30" t="s">
        <v>288</v>
      </c>
      <c r="G7" s="30" t="s">
        <v>289</v>
      </c>
      <c r="H7" s="30" t="s">
        <v>290</v>
      </c>
      <c r="I7" s="30" t="s">
        <v>291</v>
      </c>
      <c r="J7" s="30" t="s">
        <v>292</v>
      </c>
      <c r="K7" s="30" t="s">
        <v>293</v>
      </c>
      <c r="L7" s="30" t="s">
        <v>294</v>
      </c>
    </row>
    <row r="8" customFormat="false" ht="21.75" hidden="false" customHeight="true" outlineLevel="0" collapsed="false">
      <c r="B8" s="74"/>
      <c r="C8" s="74"/>
      <c r="D8" s="74"/>
      <c r="E8" s="74"/>
      <c r="F8" s="74"/>
      <c r="G8" s="74"/>
      <c r="H8" s="74"/>
      <c r="I8" s="74"/>
      <c r="J8" s="74"/>
      <c r="K8" s="74"/>
      <c r="L8" s="74"/>
    </row>
    <row r="9" customFormat="false" ht="21.75" hidden="false" customHeight="true" outlineLevel="0" collapsed="false">
      <c r="B9" s="75"/>
      <c r="C9" s="75"/>
      <c r="D9" s="75"/>
      <c r="E9" s="75"/>
      <c r="F9" s="75"/>
      <c r="G9" s="75"/>
      <c r="H9" s="75"/>
      <c r="I9" s="75"/>
      <c r="J9" s="75"/>
      <c r="K9" s="75"/>
      <c r="L9" s="75"/>
    </row>
    <row r="10" customFormat="false" ht="21.75" hidden="false" customHeight="true" outlineLevel="0" collapsed="false">
      <c r="B10" s="74"/>
      <c r="C10" s="74"/>
      <c r="D10" s="74"/>
      <c r="E10" s="74"/>
      <c r="F10" s="74"/>
      <c r="G10" s="74"/>
      <c r="H10" s="74"/>
      <c r="I10" s="74"/>
      <c r="J10" s="74"/>
      <c r="K10" s="74"/>
      <c r="L10" s="74"/>
    </row>
    <row r="11" customFormat="false" ht="21.75" hidden="false" customHeight="true" outlineLevel="0" collapsed="false">
      <c r="B11" s="75"/>
      <c r="C11" s="75"/>
      <c r="D11" s="75"/>
      <c r="E11" s="75"/>
      <c r="F11" s="75"/>
      <c r="G11" s="75"/>
      <c r="H11" s="75"/>
      <c r="I11" s="75"/>
      <c r="J11" s="75"/>
      <c r="K11" s="75"/>
      <c r="L11" s="75"/>
    </row>
    <row r="12" customFormat="false" ht="21.75" hidden="false" customHeight="true" outlineLevel="0" collapsed="false">
      <c r="B12" s="74"/>
      <c r="C12" s="74"/>
      <c r="D12" s="74"/>
      <c r="E12" s="74"/>
      <c r="F12" s="74"/>
      <c r="G12" s="74"/>
      <c r="H12" s="74"/>
      <c r="I12" s="74"/>
      <c r="J12" s="74"/>
      <c r="K12" s="74"/>
      <c r="L12" s="74"/>
    </row>
    <row r="13" customFormat="false" ht="21.75" hidden="false" customHeight="true" outlineLevel="0" collapsed="false">
      <c r="B13" s="75"/>
      <c r="C13" s="75"/>
      <c r="D13" s="75"/>
      <c r="E13" s="75"/>
      <c r="F13" s="75"/>
      <c r="G13" s="75"/>
      <c r="H13" s="75"/>
      <c r="I13" s="75"/>
      <c r="J13" s="75"/>
      <c r="K13" s="75"/>
      <c r="L13" s="75"/>
    </row>
    <row r="14" customFormat="false" ht="21.75" hidden="false" customHeight="true" outlineLevel="0" collapsed="false">
      <c r="B14" s="74"/>
      <c r="C14" s="74"/>
      <c r="D14" s="74"/>
      <c r="E14" s="74"/>
      <c r="F14" s="74"/>
      <c r="G14" s="74"/>
      <c r="H14" s="74"/>
      <c r="I14" s="74"/>
      <c r="J14" s="74"/>
      <c r="K14" s="74"/>
      <c r="L14" s="74"/>
    </row>
    <row r="15" customFormat="false" ht="21.75" hidden="false" customHeight="true" outlineLevel="0" collapsed="false">
      <c r="B15" s="75"/>
      <c r="C15" s="75"/>
      <c r="D15" s="75"/>
      <c r="E15" s="75"/>
      <c r="F15" s="75"/>
      <c r="G15" s="75"/>
      <c r="H15" s="75"/>
      <c r="I15" s="75"/>
      <c r="J15" s="75"/>
      <c r="K15" s="75"/>
      <c r="L15" s="75"/>
    </row>
    <row r="16" customFormat="false" ht="21.75" hidden="false" customHeight="true" outlineLevel="0" collapsed="false">
      <c r="B16" s="74"/>
      <c r="C16" s="74"/>
      <c r="D16" s="74"/>
      <c r="E16" s="74"/>
      <c r="F16" s="74"/>
      <c r="G16" s="74"/>
      <c r="H16" s="74"/>
      <c r="I16" s="74"/>
      <c r="J16" s="74"/>
      <c r="K16" s="74"/>
      <c r="L16" s="74"/>
    </row>
    <row r="17" customFormat="false" ht="21.75" hidden="false" customHeight="true" outlineLevel="0" collapsed="false">
      <c r="B17" s="75"/>
      <c r="C17" s="75"/>
      <c r="D17" s="75"/>
      <c r="E17" s="75"/>
      <c r="F17" s="75"/>
      <c r="G17" s="75"/>
      <c r="H17" s="75"/>
      <c r="I17" s="75"/>
      <c r="J17" s="75"/>
      <c r="K17" s="75"/>
      <c r="L17" s="75"/>
    </row>
    <row r="18" customFormat="false" ht="21.75" hidden="false" customHeight="true" outlineLevel="0" collapsed="false">
      <c r="B18" s="74"/>
      <c r="C18" s="74"/>
      <c r="D18" s="74"/>
      <c r="E18" s="74"/>
      <c r="F18" s="74"/>
      <c r="G18" s="74"/>
      <c r="H18" s="74"/>
      <c r="I18" s="74"/>
      <c r="J18" s="74"/>
      <c r="K18" s="74"/>
      <c r="L18" s="74"/>
    </row>
    <row r="19" customFormat="false" ht="21.75" hidden="false" customHeight="true" outlineLevel="0" collapsed="false">
      <c r="B19" s="75"/>
      <c r="C19" s="75"/>
      <c r="D19" s="75"/>
      <c r="E19" s="75"/>
      <c r="F19" s="75"/>
      <c r="G19" s="75"/>
      <c r="H19" s="75"/>
      <c r="I19" s="75"/>
      <c r="J19" s="75"/>
      <c r="K19" s="75"/>
      <c r="L19" s="75"/>
    </row>
    <row r="20" customFormat="false" ht="21.75" hidden="false" customHeight="true" outlineLevel="0" collapsed="false">
      <c r="B20" s="74"/>
      <c r="C20" s="74"/>
      <c r="D20" s="74"/>
      <c r="E20" s="74"/>
      <c r="F20" s="74"/>
      <c r="G20" s="74"/>
      <c r="H20" s="74"/>
      <c r="I20" s="74"/>
      <c r="J20" s="74"/>
      <c r="K20" s="74"/>
      <c r="L20" s="74"/>
    </row>
    <row r="21" customFormat="false" ht="21.75" hidden="false" customHeight="true" outlineLevel="0" collapsed="false">
      <c r="B21" s="75"/>
      <c r="C21" s="75"/>
      <c r="D21" s="75"/>
      <c r="E21" s="75"/>
      <c r="F21" s="75"/>
      <c r="G21" s="75"/>
      <c r="H21" s="75"/>
      <c r="I21" s="75"/>
      <c r="J21" s="75"/>
      <c r="K21" s="75"/>
      <c r="L21" s="75"/>
    </row>
    <row r="22" customFormat="false" ht="21.75" hidden="false" customHeight="true" outlineLevel="0" collapsed="false">
      <c r="B22" s="74"/>
      <c r="C22" s="74"/>
      <c r="D22" s="74"/>
      <c r="E22" s="74"/>
      <c r="F22" s="74"/>
      <c r="G22" s="74"/>
      <c r="H22" s="74"/>
      <c r="I22" s="74"/>
      <c r="J22" s="74"/>
      <c r="K22" s="74"/>
      <c r="L22" s="74"/>
    </row>
    <row r="23" customFormat="false" ht="21.75" hidden="false" customHeight="true" outlineLevel="0" collapsed="false">
      <c r="B23" s="75"/>
      <c r="C23" s="75"/>
      <c r="D23" s="75"/>
      <c r="E23" s="75"/>
      <c r="F23" s="75"/>
      <c r="G23" s="75"/>
      <c r="H23" s="75"/>
      <c r="I23" s="75"/>
      <c r="J23" s="75"/>
      <c r="K23" s="75"/>
      <c r="L23" s="75"/>
    </row>
    <row r="24" customFormat="false" ht="21.75" hidden="false" customHeight="true" outlineLevel="0" collapsed="false">
      <c r="B24" s="74"/>
      <c r="C24" s="74"/>
      <c r="D24" s="74"/>
      <c r="E24" s="74"/>
      <c r="F24" s="74"/>
      <c r="G24" s="74"/>
      <c r="H24" s="74"/>
      <c r="I24" s="74"/>
      <c r="J24" s="74"/>
      <c r="K24" s="74"/>
      <c r="L24" s="74"/>
    </row>
    <row r="25" customFormat="false" ht="21.75" hidden="false" customHeight="true" outlineLevel="0" collapsed="false">
      <c r="B25" s="75"/>
      <c r="C25" s="75"/>
      <c r="D25" s="75"/>
      <c r="E25" s="75"/>
      <c r="F25" s="75"/>
      <c r="G25" s="75"/>
      <c r="H25" s="75"/>
      <c r="I25" s="75"/>
      <c r="J25" s="75"/>
      <c r="K25" s="75"/>
      <c r="L25" s="75"/>
    </row>
    <row r="26" customFormat="false" ht="21.75" hidden="false" customHeight="true" outlineLevel="0" collapsed="false">
      <c r="B26" s="74"/>
      <c r="C26" s="74"/>
      <c r="D26" s="74"/>
      <c r="E26" s="74"/>
      <c r="F26" s="74"/>
      <c r="G26" s="74"/>
      <c r="H26" s="74"/>
      <c r="I26" s="74"/>
      <c r="J26" s="74"/>
      <c r="K26" s="74"/>
      <c r="L26" s="74"/>
    </row>
    <row r="27" customFormat="false" ht="21.75" hidden="false" customHeight="true" outlineLevel="0" collapsed="false">
      <c r="B27" s="75"/>
      <c r="C27" s="75"/>
      <c r="D27" s="75"/>
      <c r="E27" s="75"/>
      <c r="F27" s="75"/>
      <c r="G27" s="75"/>
      <c r="H27" s="75"/>
      <c r="I27" s="75"/>
      <c r="J27" s="75"/>
      <c r="K27" s="75"/>
      <c r="L27" s="75"/>
    </row>
    <row r="28" customFormat="false" ht="21.75" hidden="false" customHeight="true" outlineLevel="0" collapsed="false">
      <c r="B28" s="74"/>
      <c r="C28" s="74"/>
      <c r="D28" s="74"/>
      <c r="E28" s="74"/>
      <c r="F28" s="74"/>
      <c r="G28" s="74"/>
      <c r="H28" s="74"/>
      <c r="I28" s="74"/>
      <c r="J28" s="74"/>
      <c r="K28" s="74"/>
      <c r="L28" s="74"/>
    </row>
    <row r="29" customFormat="false" ht="21.75" hidden="false" customHeight="true" outlineLevel="0" collapsed="false">
      <c r="B29" s="75"/>
      <c r="C29" s="75"/>
      <c r="D29" s="75"/>
      <c r="E29" s="75"/>
      <c r="F29" s="75"/>
      <c r="G29" s="75"/>
      <c r="H29" s="75"/>
      <c r="I29" s="75"/>
      <c r="J29" s="75"/>
      <c r="K29" s="75"/>
      <c r="L29" s="75"/>
    </row>
    <row r="32" customFormat="false" ht="15" hidden="false" customHeight="false" outlineLevel="0" collapsed="false">
      <c r="B32" s="76" t="s">
        <v>295</v>
      </c>
      <c r="C32" s="76"/>
      <c r="D32" s="76"/>
      <c r="E32" s="76"/>
      <c r="F32" s="76"/>
      <c r="G32" s="76"/>
      <c r="H32" s="76"/>
      <c r="I32" s="76"/>
      <c r="J32" s="76"/>
      <c r="K32" s="76"/>
      <c r="L32" s="76"/>
    </row>
    <row r="33" customFormat="false" ht="19.4" hidden="false" customHeight="false" outlineLevel="0" collapsed="false">
      <c r="B33" s="77" t="s">
        <v>296</v>
      </c>
      <c r="C33" s="77" t="s">
        <v>297</v>
      </c>
      <c r="D33" s="77" t="s">
        <v>298</v>
      </c>
      <c r="E33" s="77" t="s">
        <v>299</v>
      </c>
      <c r="F33" s="77" t="s">
        <v>300</v>
      </c>
    </row>
    <row r="34" customFormat="false" ht="18" hidden="false" customHeight="true" outlineLevel="0" collapsed="false">
      <c r="B34" s="78" t="s">
        <v>6</v>
      </c>
      <c r="C34" s="78" t="s">
        <v>301</v>
      </c>
      <c r="D34" s="78" t="s">
        <v>302</v>
      </c>
      <c r="E34" s="78" t="s">
        <v>303</v>
      </c>
      <c r="F34" s="78" t="s">
        <v>304</v>
      </c>
    </row>
  </sheetData>
  <mergeCells count="3">
    <mergeCell ref="B2:L2"/>
    <mergeCell ref="B4:L5"/>
    <mergeCell ref="B32: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2026-05-14T15:42:32Z</dcterms:created>
  <dc:creator>openpyxl</dc:creator>
  <dc:description/>
  <dc:language>en-US</dc:language>
  <cp:lastModifiedBy/>
  <dcterms:modified xsi:type="dcterms:W3CDTF">2026-05-14T15:42:32Z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